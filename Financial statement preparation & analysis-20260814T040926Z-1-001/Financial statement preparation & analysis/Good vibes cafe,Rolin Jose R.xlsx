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64" documentId="13_ncr:1_{A36199C1-AA9F-4F5F-AA7F-FD20274E7F7F}" xr6:coauthVersionLast="47" xr6:coauthVersionMax="47" xr10:uidLastSave="{254D0E9A-A5A8-46D1-A99F-CD84A06C1A3F}"/>
  <bookViews>
    <workbookView xWindow="-108" yWindow="-108" windowWidth="23256" windowHeight="12456" firstSheet="3" activeTab="6" xr2:uid="{36A6BFA0-5E53-445F-A491-2BBE00E424AE}"/>
  </bookViews>
  <sheets>
    <sheet name="Sheet1" sheetId="2" r:id="rId1"/>
    <sheet name="journal entries" sheetId="1" r:id="rId2"/>
    <sheet name="Ledger" sheetId="4" r:id="rId3"/>
    <sheet name="Trial Balance" sheetId="5" r:id="rId4"/>
    <sheet name="Trading Account" sheetId="6" r:id="rId5"/>
    <sheet name="P&amp;L account" sheetId="7" r:id="rId6"/>
    <sheet name="Balance sheet" sheetId="9" r:id="rId7"/>
    <sheet name="Ratio analysis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9" l="1"/>
  <c r="C5" i="9"/>
  <c r="C9" i="9" s="1"/>
  <c r="F4" i="7"/>
  <c r="C13" i="7" s="1"/>
  <c r="F7" i="6"/>
  <c r="C7" i="6" s="1"/>
  <c r="C6" i="6"/>
</calcChain>
</file>

<file path=xl/sharedStrings.xml><?xml version="1.0" encoding="utf-8"?>
<sst xmlns="http://schemas.openxmlformats.org/spreadsheetml/2006/main" count="689" uniqueCount="276">
  <si>
    <t>In the books of Good Vibes Café for the month of april 2026</t>
  </si>
  <si>
    <t>Journal Entries</t>
  </si>
  <si>
    <t xml:space="preserve">Date </t>
  </si>
  <si>
    <t>Particulars</t>
  </si>
  <si>
    <t>L.F</t>
  </si>
  <si>
    <t>Debit₹</t>
  </si>
  <si>
    <t>Credit₹</t>
  </si>
  <si>
    <t>1.4.2026</t>
  </si>
  <si>
    <t>Cash a/c</t>
  </si>
  <si>
    <t>Dr</t>
  </si>
  <si>
    <t>To Capital a/c</t>
  </si>
  <si>
    <t xml:space="preserve"> 2.4.2026</t>
  </si>
  <si>
    <t>Bank a/c</t>
  </si>
  <si>
    <t>To cash a/c</t>
  </si>
  <si>
    <t>3.4.2026</t>
  </si>
  <si>
    <t>Rent a/c</t>
  </si>
  <si>
    <t>To bank a/c</t>
  </si>
  <si>
    <t>4.4.2026</t>
  </si>
  <si>
    <t>Furniture a/c</t>
  </si>
  <si>
    <t>5.4.2026</t>
  </si>
  <si>
    <t xml:space="preserve">Espresso machine a/c </t>
  </si>
  <si>
    <t>To café equipment Ltd a/c</t>
  </si>
  <si>
    <t>6.4.2026</t>
  </si>
  <si>
    <t>Stationery a/c</t>
  </si>
  <si>
    <t>8.4.2026</t>
  </si>
  <si>
    <t>Purchase a/c</t>
  </si>
  <si>
    <t>10.4.2026</t>
  </si>
  <si>
    <t>To sales a/c</t>
  </si>
  <si>
    <t>12.4.2026</t>
  </si>
  <si>
    <t>Advertisement a/c</t>
  </si>
  <si>
    <t>15.4.2026</t>
  </si>
  <si>
    <t>18.4.2026</t>
  </si>
  <si>
    <t>Electricity bill a/c</t>
  </si>
  <si>
    <t>20.4.2026</t>
  </si>
  <si>
    <t>To Bharat supplier a/c</t>
  </si>
  <si>
    <t>22.4.2026</t>
  </si>
  <si>
    <t>25.4.2026</t>
  </si>
  <si>
    <t>Bharat supplier  a/c</t>
  </si>
  <si>
    <t>26.4.2026</t>
  </si>
  <si>
    <t>Water bill a/c</t>
  </si>
  <si>
    <t>To Cash a/c</t>
  </si>
  <si>
    <t>28.4.2026</t>
  </si>
  <si>
    <t>30.4.2026</t>
  </si>
  <si>
    <t>Salary a/c</t>
  </si>
  <si>
    <t>1.5.2026</t>
  </si>
  <si>
    <t>3.5.2026</t>
  </si>
  <si>
    <t>5.5.2026</t>
  </si>
  <si>
    <t>café equipment Ltd a/c</t>
  </si>
  <si>
    <t>8.5.2026</t>
  </si>
  <si>
    <t>10.5.2026</t>
  </si>
  <si>
    <t xml:space="preserve">Internet bill a/c </t>
  </si>
  <si>
    <t>12.5.2026</t>
  </si>
  <si>
    <t>cutlery a/c</t>
  </si>
  <si>
    <t>15.5.2026</t>
  </si>
  <si>
    <t>18.5.2026</t>
  </si>
  <si>
    <t>Microwave oven a/c</t>
  </si>
  <si>
    <t>20.5.2026</t>
  </si>
  <si>
    <t>22.5.2026</t>
  </si>
  <si>
    <t>25.5.2026</t>
  </si>
  <si>
    <t>28.5.2026</t>
  </si>
  <si>
    <t>Deep cleaning service a/c</t>
  </si>
  <si>
    <t>30.5.2026</t>
  </si>
  <si>
    <t>legal consultation fees a/c</t>
  </si>
  <si>
    <t>31.5.2026</t>
  </si>
  <si>
    <t>(being paid salaries to staff for the month of may)</t>
  </si>
  <si>
    <t>(Being commenced business with cash)</t>
  </si>
  <si>
    <t>(Being cash deposited in bank)</t>
  </si>
  <si>
    <t>(Being paid april month rent by cheque)</t>
  </si>
  <si>
    <t>(Being purchased furniture for cash)</t>
  </si>
  <si>
    <t>(Being espresso machine purchased from café equipment for credit)</t>
  </si>
  <si>
    <t>(Being paid for stationery)</t>
  </si>
  <si>
    <t>(Being purchased Groceries for cash)</t>
  </si>
  <si>
    <t>(Being sold coffee and snacks for cash)</t>
  </si>
  <si>
    <t>(Being paid for local magazine advertisement)</t>
  </si>
  <si>
    <t>(Being paid electricity bill)</t>
  </si>
  <si>
    <t>(Being purchased groceries from bharat supplier on credit)</t>
  </si>
  <si>
    <t>(Being cash sales)</t>
  </si>
  <si>
    <t>(Being paid bharat supplier in full settlement)</t>
  </si>
  <si>
    <t>(Being paid water bill)</t>
  </si>
  <si>
    <t>(Being paid salaries to staff)</t>
  </si>
  <si>
    <t>(Being paid shop rent for may month by cheque)</t>
  </si>
  <si>
    <t>(Being paid café equipment Ltd against our dues)</t>
  </si>
  <si>
    <t xml:space="preserve">(Being paid internet bill for cash) </t>
  </si>
  <si>
    <t>(Being purchased cutlery fo cash)</t>
  </si>
  <si>
    <t>(Being purchased microwave oven for cash)</t>
  </si>
  <si>
    <t>(Being withdraw cash from bank for office use)</t>
  </si>
  <si>
    <t>(Being paid for deep cleaning services)</t>
  </si>
  <si>
    <t>(Being paid for one time legal consultation fees)</t>
  </si>
  <si>
    <t>Ledger entries of Good Vibes Café for the month of april to may 2026</t>
  </si>
  <si>
    <t>Date</t>
  </si>
  <si>
    <t>Amount₹</t>
  </si>
  <si>
    <t>1.6.2026</t>
  </si>
  <si>
    <t>To capital a/c</t>
  </si>
  <si>
    <t>2.4.2026</t>
  </si>
  <si>
    <t>By Bank a/c</t>
  </si>
  <si>
    <t>1.Capital a/c</t>
  </si>
  <si>
    <t>Jf</t>
  </si>
  <si>
    <t>Amount ₹</t>
  </si>
  <si>
    <t>To Balance c/d</t>
  </si>
  <si>
    <t>By Cash a/c</t>
  </si>
  <si>
    <t>By Balance b/d</t>
  </si>
  <si>
    <t>2.Cash a/c</t>
  </si>
  <si>
    <t>By Furniture a/c</t>
  </si>
  <si>
    <t>By Stationery a/c</t>
  </si>
  <si>
    <t>By purchase a/c</t>
  </si>
  <si>
    <t>By advertisement a/c</t>
  </si>
  <si>
    <t>By electricity bill a/c</t>
  </si>
  <si>
    <t xml:space="preserve">By Bharat suppliers </t>
  </si>
  <si>
    <t>By water bill a/c</t>
  </si>
  <si>
    <t>By salary a/c</t>
  </si>
  <si>
    <t>By  Café equipmennt Ltd a/c</t>
  </si>
  <si>
    <t>By internet bill a/c</t>
  </si>
  <si>
    <t>By cutlery a/c</t>
  </si>
  <si>
    <t>By microwave oven a/c</t>
  </si>
  <si>
    <t>By  deep cleaning service a/c</t>
  </si>
  <si>
    <t>By consultation fees a/c</t>
  </si>
  <si>
    <t>By balance c/d</t>
  </si>
  <si>
    <t>To balance b/d</t>
  </si>
  <si>
    <t>3.Bank a/c</t>
  </si>
  <si>
    <t>To cash  a/c</t>
  </si>
  <si>
    <t>By rent a/c</t>
  </si>
  <si>
    <t>4.Rent A/C</t>
  </si>
  <si>
    <t>To Bank A/c</t>
  </si>
  <si>
    <t>By Balance C/d</t>
  </si>
  <si>
    <t>To Balance B/d</t>
  </si>
  <si>
    <t>5.Furniture A/C</t>
  </si>
  <si>
    <t>To Cash A/c</t>
  </si>
  <si>
    <t>6.Espresso mechine A/C</t>
  </si>
  <si>
    <t>To Café equipments Ltd A/c</t>
  </si>
  <si>
    <t>7.Café equipment Ltd A/C</t>
  </si>
  <si>
    <t xml:space="preserve">To Cash A/c </t>
  </si>
  <si>
    <t>Espresso mechine A/c</t>
  </si>
  <si>
    <t>To Balance C/d</t>
  </si>
  <si>
    <t>By Balance B/d</t>
  </si>
  <si>
    <t>8.Stationery A/C</t>
  </si>
  <si>
    <t>To Stationery A/c</t>
  </si>
  <si>
    <t>9.Purchase A/C</t>
  </si>
  <si>
    <t>08.4.2026</t>
  </si>
  <si>
    <t>To Bharat Suppliers A/c</t>
  </si>
  <si>
    <t>03.5.2026</t>
  </si>
  <si>
    <t>10.Sales A/C</t>
  </si>
  <si>
    <t>11.4.2026</t>
  </si>
  <si>
    <t>By Cash A/c</t>
  </si>
  <si>
    <t>08.5.2026</t>
  </si>
  <si>
    <t>11.Advertisement A/C</t>
  </si>
  <si>
    <t>12.Electricity Bill A/C</t>
  </si>
  <si>
    <t>13.Bharat Sippliers A/C</t>
  </si>
  <si>
    <t>By Purchase A/c</t>
  </si>
  <si>
    <t>14.Water Bill A/C</t>
  </si>
  <si>
    <t>15.Salaries A/C</t>
  </si>
  <si>
    <t>16.Internet Bill A/C</t>
  </si>
  <si>
    <t>11.5.2026</t>
  </si>
  <si>
    <t>To Internet Bill A/c</t>
  </si>
  <si>
    <t>17.Cutlery A/C</t>
  </si>
  <si>
    <t>18.Cleaning Searvices A/C</t>
  </si>
  <si>
    <t>19.Microwave Oven A/C</t>
  </si>
  <si>
    <t>20.Legal Consultation Fees A/C</t>
  </si>
  <si>
    <t xml:space="preserve">In the books Good Vibes Café Trading A/C for the month of April&amp;May </t>
  </si>
  <si>
    <t>S.No</t>
  </si>
  <si>
    <t>Cash A/c</t>
  </si>
  <si>
    <t>Bank A/c</t>
  </si>
  <si>
    <t>Rent A/c</t>
  </si>
  <si>
    <t>Furniture A/c</t>
  </si>
  <si>
    <t>Espresso machine A/c</t>
  </si>
  <si>
    <t>Stationery A/c</t>
  </si>
  <si>
    <t xml:space="preserve">Purchaes A/c </t>
  </si>
  <si>
    <t>Advertisement A/c</t>
  </si>
  <si>
    <t>Electricity Bill A/c</t>
  </si>
  <si>
    <t>Bharat suppliers A/c</t>
  </si>
  <si>
    <t>-</t>
  </si>
  <si>
    <t>Water Bill A/c</t>
  </si>
  <si>
    <t>Salaries A/c</t>
  </si>
  <si>
    <t>Internet Bill A/c</t>
  </si>
  <si>
    <t>Cutlery A/c</t>
  </si>
  <si>
    <t>Cleaning Services A/c</t>
  </si>
  <si>
    <t>Microwave Oven A/c</t>
  </si>
  <si>
    <t>Leagel Consultation Fee A/c</t>
  </si>
  <si>
    <t>Capital A/c</t>
  </si>
  <si>
    <t>Café equipment Ltd A/c</t>
  </si>
  <si>
    <t>Sales A/c</t>
  </si>
  <si>
    <t>Total</t>
  </si>
  <si>
    <t>Trading account for the month of april &amp; may 2026</t>
  </si>
  <si>
    <t xml:space="preserve">Particulars </t>
  </si>
  <si>
    <t xml:space="preserve">To opening stock </t>
  </si>
  <si>
    <t xml:space="preserve">By sales </t>
  </si>
  <si>
    <t>To purchase</t>
  </si>
  <si>
    <t>To direct expenses</t>
  </si>
  <si>
    <t>To Gross profit c/d</t>
  </si>
  <si>
    <t>Profit and loss a/c for the month ended april &amp;may 2026</t>
  </si>
  <si>
    <t>To rent a/c</t>
  </si>
  <si>
    <t>By gross profit b/d</t>
  </si>
  <si>
    <t>To salaries a/c</t>
  </si>
  <si>
    <t xml:space="preserve">To electricity bill a/c </t>
  </si>
  <si>
    <t>To water bill a/c</t>
  </si>
  <si>
    <t xml:space="preserve">To internet bill a/c </t>
  </si>
  <si>
    <t>To advertisement a/c</t>
  </si>
  <si>
    <t>To stationery a/c</t>
  </si>
  <si>
    <t>To cleaning service a/c</t>
  </si>
  <si>
    <t xml:space="preserve">To legal consultation fees a/c </t>
  </si>
  <si>
    <t xml:space="preserve">Liabilities </t>
  </si>
  <si>
    <t xml:space="preserve">Asset </t>
  </si>
  <si>
    <t xml:space="preserve">Capital </t>
  </si>
  <si>
    <t>Cash</t>
  </si>
  <si>
    <t>Less: net loss</t>
  </si>
  <si>
    <t xml:space="preserve">Bank </t>
  </si>
  <si>
    <t>Furniture</t>
  </si>
  <si>
    <t xml:space="preserve">Creditors </t>
  </si>
  <si>
    <t>Espresso machine</t>
  </si>
  <si>
    <t>Café equipment ltd</t>
  </si>
  <si>
    <t>Microwave oven</t>
  </si>
  <si>
    <t>Bharat suppliers</t>
  </si>
  <si>
    <t>Cuttlery</t>
  </si>
  <si>
    <t>Balance sheet as on april &amp; may 2026</t>
  </si>
  <si>
    <t>Ratio Analysis</t>
  </si>
  <si>
    <t>1.Current Ratio</t>
  </si>
  <si>
    <t>Current Assets</t>
  </si>
  <si>
    <t>Interpretation of results.</t>
  </si>
  <si>
    <t>Current Assets / Current Liabilities.</t>
  </si>
  <si>
    <t>The firm has ₹22.66 of current assets for every ₹ of current liabilities.</t>
  </si>
  <si>
    <t>Current Liabilities</t>
  </si>
  <si>
    <t>This indicates excellent short-term solvency and a very strong ability to meet its  current obligations.</t>
  </si>
  <si>
    <t>Current Ratio</t>
  </si>
  <si>
    <t>2.Quick Ratio</t>
  </si>
  <si>
    <t>(Current Assets - Inventory - Prepaid Expenses)/ Current Liabilities.</t>
  </si>
  <si>
    <t xml:space="preserve">Quick Assets </t>
  </si>
  <si>
    <t>The firm has ₹22.66 of quick (Liquid) assets for every ₹1 of current Liabilities.</t>
  </si>
  <si>
    <t>This indicates excellent immediate Liquidity and a very strong ability to meet short - term oblighations.</t>
  </si>
  <si>
    <t>Quick Ratio</t>
  </si>
  <si>
    <t>3.Cash Ratio</t>
  </si>
  <si>
    <t>(Cash + Cash Equivalents) / Current Liabilities.</t>
  </si>
  <si>
    <t>Cash + Cash equivalents</t>
  </si>
  <si>
    <t>The firm has ₹22.66 of cash and cash equivalents for every ₹1 of current liabilities.</t>
  </si>
  <si>
    <t>Comfortably meets all its short - term obligations using only its cash and cash equivalents.</t>
  </si>
  <si>
    <t>Cash Ratio</t>
  </si>
  <si>
    <t>4.Debt-to-Equity Ratio</t>
  </si>
  <si>
    <t>Total Debt</t>
  </si>
  <si>
    <t>The firm has ₹0.0365 of debt for every ₹1 of shareholder's equity.</t>
  </si>
  <si>
    <t>Shareholder's Equity</t>
  </si>
  <si>
    <t>This indicates a very low level  of financial leverage and a strong equity base.</t>
  </si>
  <si>
    <t>Debt-to-Equity Ratio</t>
  </si>
  <si>
    <t>5.Debt-to-Assets Ratio</t>
  </si>
  <si>
    <t>The firm has ₹0.0352 of debt for every ₹1 of shareholder's equity.</t>
  </si>
  <si>
    <t>Total Assets</t>
  </si>
  <si>
    <t>Debt-to-Assets Ratio</t>
  </si>
  <si>
    <t>(Complete the Ratio Analysis which are Applicable.)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</si>
  <si>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</si>
  <si>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</si>
  <si>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</si>
  <si>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t>Total Debt / Shareholder's Equity.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</si>
  <si>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</si>
  <si>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</si>
  <si>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</si>
  <si>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t>The firm finances 3.52% of its assets thrpough debt.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</si>
  <si>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</si>
  <si>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</si>
  <si>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</si>
  <si>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</si>
  <si>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</si>
  <si>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t>The firm generates ₹0.071 of net sales for every ₹1 invested in total assets.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</si>
  <si>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</si>
  <si>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</si>
  <si>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</si>
  <si>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</si>
  <si>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</si>
  <si>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</si>
  <si>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t>Average Inventory</t>
  </si>
  <si>
    <t>Inventory Turnover Ratio.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</si>
  <si>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</si>
  <si>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</si>
  <si>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</si>
  <si>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</si>
  <si>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Working Capital</t>
  </si>
  <si>
    <t>The working Capital Turnover Ratio of 0.093 times is below the ideal range of 2 - 4 times.</t>
  </si>
  <si>
    <t>Working Capital Turnover Ratio.</t>
  </si>
  <si>
    <t>The business is not using its working capital efficiently to generate sales.</t>
  </si>
  <si>
    <t>By net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</si>
</sst>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1"/>
      <color theme="1"/>
      <name val="Aptos Narrow"/>
      <family val="2"/>
    </font>
    <font>
      <b/>
      <i/>
      <sz val="11"/>
      <color theme="7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  <xf numFmtId="164" fontId="4" fillId="0" borderId="1" xfId="1" applyNumberFormat="1" applyFont="1" applyBorder="1"/>
    <xf numFmtId="14" fontId="4" fillId="0" borderId="4" xfId="0" applyNumberFormat="1" applyFont="1" applyBorder="1"/>
    <xf numFmtId="0" fontId="4" fillId="0" borderId="4" xfId="0" applyFont="1" applyBorder="1"/>
    <xf numFmtId="164" fontId="3" fillId="0" borderId="4" xfId="1" applyNumberFormat="1" applyFont="1" applyBorder="1"/>
    <xf numFmtId="14" fontId="3" fillId="0" borderId="4" xfId="0" applyNumberFormat="1" applyFont="1" applyBorder="1"/>
    <xf numFmtId="0" fontId="3" fillId="0" borderId="4" xfId="0" applyFont="1" applyBorder="1"/>
    <xf numFmtId="164" fontId="3" fillId="0" borderId="1" xfId="1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4" fillId="0" borderId="1" xfId="2" applyNumberFormat="1" applyFont="1" applyBorder="1"/>
    <xf numFmtId="164" fontId="3" fillId="0" borderId="1" xfId="2" applyNumberFormat="1" applyFont="1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5" xfId="0" applyFill="1" applyBorder="1"/>
    <xf numFmtId="0" fontId="1" fillId="2" borderId="8" xfId="0" applyFont="1" applyFill="1" applyBorder="1"/>
    <xf numFmtId="0" fontId="1" fillId="2" borderId="5" xfId="0" applyFont="1" applyFill="1" applyBorder="1"/>
    <xf numFmtId="0" fontId="0" fillId="2" borderId="8" xfId="0" applyFill="1" applyBorder="1" applyAlignment="1">
      <alignment horizontal="right"/>
    </xf>
    <xf numFmtId="164" fontId="0" fillId="2" borderId="5" xfId="3" applyNumberFormat="1" applyFont="1" applyFill="1" applyBorder="1"/>
    <xf numFmtId="43" fontId="1" fillId="2" borderId="5" xfId="3" applyFont="1" applyFill="1" applyBorder="1"/>
    <xf numFmtId="0" fontId="0" fillId="2" borderId="5" xfId="0" applyFill="1" applyBorder="1" applyAlignment="1">
      <alignment wrapText="1"/>
    </xf>
    <xf numFmtId="0" fontId="0" fillId="2" borderId="1" xfId="0" applyFill="1" applyBorder="1"/>
    <xf numFmtId="164" fontId="0" fillId="2" borderId="1" xfId="3" applyNumberFormat="1" applyFont="1" applyFill="1" applyBorder="1"/>
    <xf numFmtId="164" fontId="1" fillId="2" borderId="5" xfId="3" applyNumberFormat="1" applyFont="1" applyFill="1" applyBorder="1" applyAlignment="1">
      <alignment wrapText="1"/>
    </xf>
    <xf numFmtId="43" fontId="0" fillId="2" borderId="1" xfId="3" applyFont="1" applyFill="1" applyBorder="1"/>
    <xf numFmtId="164" fontId="1" fillId="2" borderId="5" xfId="3" applyNumberFormat="1" applyFont="1" applyFill="1" applyBorder="1"/>
    <xf numFmtId="0" fontId="0" fillId="2" borderId="1" xfId="0" applyFill="1" applyBorder="1" applyAlignment="1">
      <alignment horizontal="right"/>
    </xf>
    <xf numFmtId="0" fontId="1" fillId="2" borderId="8" xfId="0" applyFont="1" applyFill="1" applyBorder="1" applyAlignment="1">
      <alignment horizontal="left"/>
    </xf>
    <xf numFmtId="165" fontId="1" fillId="2" borderId="5" xfId="3" applyNumberFormat="1" applyFont="1" applyFill="1" applyBorder="1"/>
    <xf numFmtId="166" fontId="1" fillId="2" borderId="5" xfId="3" applyNumberFormat="1" applyFont="1" applyFill="1" applyBorder="1"/>
    <xf numFmtId="0" fontId="0" fillId="2" borderId="7" xfId="0" applyFill="1" applyBorder="1" applyAlignment="1">
      <alignment horizontal="right"/>
    </xf>
    <xf numFmtId="166" fontId="1" fillId="2" borderId="6" xfId="3" applyNumberFormat="1" applyFont="1" applyFill="1" applyBorder="1"/>
    <xf numFmtId="0" fontId="0" fillId="2" borderId="6" xfId="0" applyFill="1" applyBorder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 2" xfId="2" xr:uid="{C6C90FCA-364F-4C41-849F-FA3885183AE0}"/>
    <cellStyle name="Comma 3" xfId="1" xr:uid="{0EEDC0A3-5CB3-41E6-B163-6CF0280002B0}"/>
    <cellStyle name="Comma 4" xfId="3" xr:uid="{5ECEB2CB-4D67-4CD2-8476-97F52DB6E76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E46E-9515-4CB5-B37E-0071F6360982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EE8F-88EB-47AB-A08E-3DFF0537FE47}">
  <dimension ref="A1:F96"/>
  <sheetViews>
    <sheetView zoomScale="90" workbookViewId="0">
      <selection activeCell="A2" sqref="A2:F2"/>
    </sheetView>
  </sheetViews>
  <sheetFormatPr defaultRowHeight="14.4" x14ac:dyDescent="0.3"/>
  <cols>
    <col min="1" max="1" width="9.109375" bestFit="1" customWidth="1"/>
    <col min="2" max="2" width="55.44140625" bestFit="1" customWidth="1"/>
    <col min="3" max="4" width="4.109375" customWidth="1"/>
  </cols>
  <sheetData>
    <row r="1" spans="1:6" x14ac:dyDescent="0.3">
      <c r="A1" s="45" t="s">
        <v>0</v>
      </c>
      <c r="B1" s="45"/>
      <c r="C1" s="45"/>
      <c r="D1" s="45"/>
      <c r="E1" s="45"/>
      <c r="F1" s="45"/>
    </row>
    <row r="2" spans="1:6" x14ac:dyDescent="0.3">
      <c r="A2" s="45" t="s">
        <v>1</v>
      </c>
      <c r="B2" s="45"/>
      <c r="C2" s="45"/>
      <c r="D2" s="45"/>
      <c r="E2" s="45"/>
      <c r="F2" s="45"/>
    </row>
    <row r="3" spans="1:6" x14ac:dyDescent="0.3">
      <c r="A3" s="3" t="s">
        <v>2</v>
      </c>
      <c r="B3" s="3" t="s">
        <v>3</v>
      </c>
      <c r="C3" s="3"/>
      <c r="D3" s="3" t="s">
        <v>4</v>
      </c>
      <c r="E3" s="3" t="s">
        <v>5</v>
      </c>
      <c r="F3" s="3" t="s">
        <v>6</v>
      </c>
    </row>
    <row r="4" spans="1:6" x14ac:dyDescent="0.3">
      <c r="A4" s="1" t="s">
        <v>7</v>
      </c>
      <c r="B4" s="1" t="s">
        <v>8</v>
      </c>
      <c r="C4" s="1" t="s">
        <v>9</v>
      </c>
      <c r="D4" s="1"/>
      <c r="E4" s="2">
        <v>800000</v>
      </c>
      <c r="F4" s="1"/>
    </row>
    <row r="5" spans="1:6" x14ac:dyDescent="0.3">
      <c r="A5" s="1"/>
      <c r="B5" s="1" t="s">
        <v>10</v>
      </c>
      <c r="C5" s="1"/>
      <c r="D5" s="1"/>
      <c r="E5" s="1"/>
      <c r="F5" s="2">
        <v>800000</v>
      </c>
    </row>
    <row r="6" spans="1:6" x14ac:dyDescent="0.3">
      <c r="A6" s="1"/>
      <c r="B6" s="1" t="s">
        <v>65</v>
      </c>
      <c r="C6" s="1"/>
      <c r="D6" s="1"/>
      <c r="E6" s="1"/>
      <c r="F6" s="1"/>
    </row>
    <row r="7" spans="1:6" x14ac:dyDescent="0.3">
      <c r="A7" s="1" t="s">
        <v>11</v>
      </c>
      <c r="B7" s="1" t="s">
        <v>12</v>
      </c>
      <c r="C7" s="1" t="s">
        <v>9</v>
      </c>
      <c r="D7" s="1"/>
      <c r="E7" s="2">
        <v>450000</v>
      </c>
      <c r="F7" s="1"/>
    </row>
    <row r="8" spans="1:6" x14ac:dyDescent="0.3">
      <c r="A8" s="1"/>
      <c r="B8" s="1" t="s">
        <v>13</v>
      </c>
      <c r="C8" s="1"/>
      <c r="D8" s="1"/>
      <c r="E8" s="1"/>
      <c r="F8" s="2">
        <v>450000</v>
      </c>
    </row>
    <row r="9" spans="1:6" x14ac:dyDescent="0.3">
      <c r="A9" s="1"/>
      <c r="B9" s="1" t="s">
        <v>66</v>
      </c>
      <c r="C9" s="1"/>
      <c r="D9" s="1"/>
      <c r="E9" s="1"/>
      <c r="F9" s="1"/>
    </row>
    <row r="10" spans="1:6" x14ac:dyDescent="0.3">
      <c r="A10" s="1" t="s">
        <v>14</v>
      </c>
      <c r="B10" s="1" t="s">
        <v>15</v>
      </c>
      <c r="C10" s="1" t="s">
        <v>9</v>
      </c>
      <c r="D10" s="1"/>
      <c r="E10" s="2">
        <v>30000</v>
      </c>
      <c r="F10" s="1"/>
    </row>
    <row r="11" spans="1:6" x14ac:dyDescent="0.3">
      <c r="A11" s="1"/>
      <c r="B11" s="1" t="s">
        <v>16</v>
      </c>
      <c r="C11" s="1"/>
      <c r="D11" s="1"/>
      <c r="E11" s="1"/>
      <c r="F11" s="2">
        <v>30000</v>
      </c>
    </row>
    <row r="12" spans="1:6" x14ac:dyDescent="0.3">
      <c r="A12" s="1"/>
      <c r="B12" s="1" t="s">
        <v>67</v>
      </c>
      <c r="C12" s="1"/>
      <c r="D12" s="1"/>
      <c r="E12" s="1"/>
      <c r="F12" s="2"/>
    </row>
    <row r="13" spans="1:6" x14ac:dyDescent="0.3">
      <c r="A13" s="1" t="s">
        <v>17</v>
      </c>
      <c r="B13" s="1" t="s">
        <v>18</v>
      </c>
      <c r="C13" s="1" t="s">
        <v>9</v>
      </c>
      <c r="D13" s="1"/>
      <c r="E13" s="2">
        <v>75000</v>
      </c>
      <c r="F13" s="1"/>
    </row>
    <row r="14" spans="1:6" x14ac:dyDescent="0.3">
      <c r="A14" s="1"/>
      <c r="B14" s="1" t="s">
        <v>13</v>
      </c>
      <c r="C14" s="1"/>
      <c r="D14" s="1"/>
      <c r="E14" s="1"/>
      <c r="F14" s="2">
        <v>75000</v>
      </c>
    </row>
    <row r="15" spans="1:6" x14ac:dyDescent="0.3">
      <c r="A15" s="1"/>
      <c r="B15" s="1" t="s">
        <v>68</v>
      </c>
      <c r="C15" s="1"/>
      <c r="D15" s="1"/>
      <c r="E15" s="1"/>
      <c r="F15" s="1"/>
    </row>
    <row r="16" spans="1:6" x14ac:dyDescent="0.3">
      <c r="A16" s="1" t="s">
        <v>19</v>
      </c>
      <c r="B16" s="1" t="s">
        <v>20</v>
      </c>
      <c r="C16" s="1" t="s">
        <v>9</v>
      </c>
      <c r="D16" s="1"/>
      <c r="E16" s="2">
        <v>55000</v>
      </c>
      <c r="F16" s="1"/>
    </row>
    <row r="17" spans="1:6" x14ac:dyDescent="0.3">
      <c r="A17" s="1"/>
      <c r="B17" s="1" t="s">
        <v>21</v>
      </c>
      <c r="C17" s="1"/>
      <c r="D17" s="1"/>
      <c r="E17" s="1"/>
      <c r="F17" s="2">
        <v>55000</v>
      </c>
    </row>
    <row r="18" spans="1:6" x14ac:dyDescent="0.3">
      <c r="A18" s="1"/>
      <c r="B18" s="1" t="s">
        <v>69</v>
      </c>
      <c r="C18" s="1"/>
      <c r="D18" s="1"/>
      <c r="E18" s="1"/>
      <c r="F18" s="1"/>
    </row>
    <row r="19" spans="1:6" x14ac:dyDescent="0.3">
      <c r="A19" s="1" t="s">
        <v>22</v>
      </c>
      <c r="B19" s="1" t="s">
        <v>23</v>
      </c>
      <c r="C19" s="1" t="s">
        <v>9</v>
      </c>
      <c r="D19" s="1"/>
      <c r="E19" s="2">
        <v>2500</v>
      </c>
      <c r="F19" s="1"/>
    </row>
    <row r="20" spans="1:6" x14ac:dyDescent="0.3">
      <c r="A20" s="1"/>
      <c r="B20" s="1" t="s">
        <v>13</v>
      </c>
      <c r="C20" s="1"/>
      <c r="D20" s="1"/>
      <c r="E20" s="1"/>
      <c r="F20" s="2">
        <v>2500</v>
      </c>
    </row>
    <row r="21" spans="1:6" x14ac:dyDescent="0.3">
      <c r="A21" s="1"/>
      <c r="B21" s="1" t="s">
        <v>70</v>
      </c>
      <c r="C21" s="1"/>
      <c r="D21" s="1"/>
      <c r="E21" s="1"/>
      <c r="F21" s="1"/>
    </row>
    <row r="22" spans="1:6" x14ac:dyDescent="0.3">
      <c r="A22" s="1" t="s">
        <v>24</v>
      </c>
      <c r="B22" s="1" t="s">
        <v>25</v>
      </c>
      <c r="C22" s="1" t="s">
        <v>9</v>
      </c>
      <c r="D22" s="1"/>
      <c r="E22" s="2">
        <v>15000</v>
      </c>
      <c r="F22" s="1"/>
    </row>
    <row r="23" spans="1:6" x14ac:dyDescent="0.3">
      <c r="A23" s="1"/>
      <c r="B23" s="1" t="s">
        <v>13</v>
      </c>
      <c r="C23" s="1"/>
      <c r="D23" s="1"/>
      <c r="E23" s="1"/>
      <c r="F23" s="2">
        <v>15000</v>
      </c>
    </row>
    <row r="24" spans="1:6" x14ac:dyDescent="0.3">
      <c r="A24" s="1"/>
      <c r="B24" s="1" t="s">
        <v>71</v>
      </c>
      <c r="C24" s="1"/>
      <c r="D24" s="1"/>
      <c r="E24" s="1"/>
      <c r="F24" s="1"/>
    </row>
    <row r="25" spans="1:6" x14ac:dyDescent="0.3">
      <c r="A25" s="1" t="s">
        <v>26</v>
      </c>
      <c r="B25" s="1" t="s">
        <v>8</v>
      </c>
      <c r="C25" s="1" t="s">
        <v>9</v>
      </c>
      <c r="D25" s="1"/>
      <c r="E25" s="2">
        <v>4800</v>
      </c>
      <c r="F25" s="1"/>
    </row>
    <row r="26" spans="1:6" x14ac:dyDescent="0.3">
      <c r="A26" s="1"/>
      <c r="B26" s="1" t="s">
        <v>27</v>
      </c>
      <c r="C26" s="1"/>
      <c r="D26" s="1"/>
      <c r="E26" s="1"/>
      <c r="F26" s="2">
        <v>4800</v>
      </c>
    </row>
    <row r="27" spans="1:6" x14ac:dyDescent="0.3">
      <c r="A27" s="1"/>
      <c r="B27" s="1" t="s">
        <v>72</v>
      </c>
      <c r="C27" s="1"/>
      <c r="D27" s="1"/>
      <c r="E27" s="1"/>
      <c r="F27" s="1"/>
    </row>
    <row r="28" spans="1:6" x14ac:dyDescent="0.3">
      <c r="A28" s="1" t="s">
        <v>28</v>
      </c>
      <c r="B28" s="1" t="s">
        <v>29</v>
      </c>
      <c r="C28" s="1" t="s">
        <v>9</v>
      </c>
      <c r="D28" s="1"/>
      <c r="E28" s="2">
        <v>3000</v>
      </c>
      <c r="F28" s="1"/>
    </row>
    <row r="29" spans="1:6" x14ac:dyDescent="0.3">
      <c r="A29" s="1"/>
      <c r="B29" s="1" t="s">
        <v>13</v>
      </c>
      <c r="C29" s="1"/>
      <c r="D29" s="1"/>
      <c r="E29" s="1"/>
      <c r="F29" s="2">
        <v>3000</v>
      </c>
    </row>
    <row r="30" spans="1:6" x14ac:dyDescent="0.3">
      <c r="A30" s="1"/>
      <c r="B30" s="1" t="s">
        <v>73</v>
      </c>
      <c r="C30" s="1"/>
      <c r="D30" s="1"/>
      <c r="E30" s="1"/>
      <c r="F30" s="1"/>
    </row>
    <row r="31" spans="1:6" x14ac:dyDescent="0.3">
      <c r="A31" s="1" t="s">
        <v>30</v>
      </c>
      <c r="B31" s="1" t="s">
        <v>8</v>
      </c>
      <c r="C31" s="1" t="s">
        <v>9</v>
      </c>
      <c r="D31" s="1"/>
      <c r="E31" s="2">
        <v>5500</v>
      </c>
      <c r="F31" s="1"/>
    </row>
    <row r="32" spans="1:6" x14ac:dyDescent="0.3">
      <c r="A32" s="1"/>
      <c r="B32" s="1" t="s">
        <v>27</v>
      </c>
      <c r="C32" s="1"/>
      <c r="D32" s="1"/>
      <c r="E32" s="1"/>
      <c r="F32" s="2">
        <v>5500</v>
      </c>
    </row>
    <row r="33" spans="1:6" x14ac:dyDescent="0.3">
      <c r="A33" s="1"/>
      <c r="B33" s="1" t="s">
        <v>72</v>
      </c>
      <c r="C33" s="1"/>
      <c r="D33" s="1"/>
      <c r="E33" s="1"/>
      <c r="F33" s="1"/>
    </row>
    <row r="34" spans="1:6" x14ac:dyDescent="0.3">
      <c r="A34" s="1" t="s">
        <v>31</v>
      </c>
      <c r="B34" s="1" t="s">
        <v>32</v>
      </c>
      <c r="C34" s="1" t="s">
        <v>9</v>
      </c>
      <c r="D34" s="1"/>
      <c r="E34" s="2">
        <v>2200</v>
      </c>
      <c r="F34" s="1"/>
    </row>
    <row r="35" spans="1:6" x14ac:dyDescent="0.3">
      <c r="A35" s="1"/>
      <c r="B35" s="1" t="s">
        <v>13</v>
      </c>
      <c r="C35" s="1"/>
      <c r="D35" s="1"/>
      <c r="E35" s="1"/>
      <c r="F35" s="2">
        <v>2200</v>
      </c>
    </row>
    <row r="36" spans="1:6" x14ac:dyDescent="0.3">
      <c r="A36" s="1"/>
      <c r="B36" s="1" t="s">
        <v>74</v>
      </c>
      <c r="C36" s="1"/>
      <c r="D36" s="1"/>
      <c r="E36" s="1"/>
      <c r="F36" s="1"/>
    </row>
    <row r="37" spans="1:6" x14ac:dyDescent="0.3">
      <c r="A37" s="1" t="s">
        <v>33</v>
      </c>
      <c r="B37" s="1" t="s">
        <v>25</v>
      </c>
      <c r="C37" s="1" t="s">
        <v>9</v>
      </c>
      <c r="D37" s="1"/>
      <c r="E37" s="2">
        <v>8000</v>
      </c>
      <c r="F37" s="1"/>
    </row>
    <row r="38" spans="1:6" x14ac:dyDescent="0.3">
      <c r="A38" s="1"/>
      <c r="B38" s="1" t="s">
        <v>34</v>
      </c>
      <c r="C38" s="1"/>
      <c r="D38" s="1"/>
      <c r="E38" s="1"/>
      <c r="F38" s="2">
        <v>8000</v>
      </c>
    </row>
    <row r="39" spans="1:6" x14ac:dyDescent="0.3">
      <c r="A39" s="1"/>
      <c r="B39" s="1" t="s">
        <v>75</v>
      </c>
      <c r="C39" s="1"/>
      <c r="D39" s="1"/>
      <c r="E39" s="1"/>
      <c r="F39" s="1"/>
    </row>
    <row r="40" spans="1:6" x14ac:dyDescent="0.3">
      <c r="A40" s="1" t="s">
        <v>35</v>
      </c>
      <c r="B40" s="1" t="s">
        <v>8</v>
      </c>
      <c r="C40" s="1" t="s">
        <v>9</v>
      </c>
      <c r="D40" s="1"/>
      <c r="E40" s="2">
        <v>6300</v>
      </c>
      <c r="F40" s="1"/>
    </row>
    <row r="41" spans="1:6" x14ac:dyDescent="0.3">
      <c r="A41" s="1"/>
      <c r="B41" s="1" t="s">
        <v>27</v>
      </c>
      <c r="C41" s="1"/>
      <c r="D41" s="1"/>
      <c r="E41" s="1"/>
      <c r="F41" s="2">
        <v>6300</v>
      </c>
    </row>
    <row r="42" spans="1:6" x14ac:dyDescent="0.3">
      <c r="A42" s="1"/>
      <c r="B42" s="1" t="s">
        <v>76</v>
      </c>
      <c r="C42" s="1"/>
      <c r="D42" s="1"/>
      <c r="E42" s="1"/>
      <c r="F42" s="1"/>
    </row>
    <row r="43" spans="1:6" x14ac:dyDescent="0.3">
      <c r="A43" s="1" t="s">
        <v>36</v>
      </c>
      <c r="B43" s="1" t="s">
        <v>37</v>
      </c>
      <c r="C43" s="1" t="s">
        <v>9</v>
      </c>
      <c r="D43" s="1"/>
      <c r="E43" s="2">
        <v>8000</v>
      </c>
      <c r="F43" s="1"/>
    </row>
    <row r="44" spans="1:6" x14ac:dyDescent="0.3">
      <c r="A44" s="1"/>
      <c r="B44" s="1" t="s">
        <v>40</v>
      </c>
      <c r="C44" s="1"/>
      <c r="D44" s="1"/>
      <c r="E44" s="1"/>
      <c r="F44" s="2">
        <v>8000</v>
      </c>
    </row>
    <row r="45" spans="1:6" x14ac:dyDescent="0.3">
      <c r="A45" s="1"/>
      <c r="B45" s="1" t="s">
        <v>77</v>
      </c>
      <c r="C45" s="1"/>
      <c r="D45" s="1"/>
      <c r="E45" s="1"/>
      <c r="F45" s="1"/>
    </row>
    <row r="46" spans="1:6" x14ac:dyDescent="0.3">
      <c r="A46" s="1" t="s">
        <v>38</v>
      </c>
      <c r="B46" s="1" t="s">
        <v>39</v>
      </c>
      <c r="C46" s="1" t="s">
        <v>9</v>
      </c>
      <c r="D46" s="1"/>
      <c r="E46" s="1">
        <v>800</v>
      </c>
      <c r="F46" s="1"/>
    </row>
    <row r="47" spans="1:6" x14ac:dyDescent="0.3">
      <c r="A47" s="1"/>
      <c r="B47" s="1" t="s">
        <v>13</v>
      </c>
      <c r="C47" s="1"/>
      <c r="D47" s="1"/>
      <c r="E47" s="1"/>
      <c r="F47" s="1">
        <v>800</v>
      </c>
    </row>
    <row r="48" spans="1:6" x14ac:dyDescent="0.3">
      <c r="A48" s="1"/>
      <c r="B48" s="1" t="s">
        <v>78</v>
      </c>
      <c r="C48" s="1"/>
      <c r="D48" s="1"/>
      <c r="E48" s="1"/>
      <c r="F48" s="1"/>
    </row>
    <row r="49" spans="1:6" x14ac:dyDescent="0.3">
      <c r="A49" s="1" t="s">
        <v>41</v>
      </c>
      <c r="B49" s="1" t="s">
        <v>8</v>
      </c>
      <c r="C49" s="1" t="s">
        <v>9</v>
      </c>
      <c r="D49" s="1"/>
      <c r="E49" s="2">
        <v>7100</v>
      </c>
      <c r="F49" s="1"/>
    </row>
    <row r="50" spans="1:6" x14ac:dyDescent="0.3">
      <c r="A50" s="1"/>
      <c r="B50" s="1" t="s">
        <v>27</v>
      </c>
      <c r="C50" s="1"/>
      <c r="D50" s="1"/>
      <c r="E50" s="1"/>
      <c r="F50" s="2">
        <v>7100</v>
      </c>
    </row>
    <row r="51" spans="1:6" x14ac:dyDescent="0.3">
      <c r="A51" s="1"/>
      <c r="B51" s="1" t="s">
        <v>72</v>
      </c>
      <c r="C51" s="1"/>
      <c r="D51" s="1"/>
      <c r="E51" s="1"/>
      <c r="F51" s="1"/>
    </row>
    <row r="52" spans="1:6" x14ac:dyDescent="0.3">
      <c r="A52" s="1" t="s">
        <v>42</v>
      </c>
      <c r="B52" s="1" t="s">
        <v>43</v>
      </c>
      <c r="C52" s="1" t="s">
        <v>9</v>
      </c>
      <c r="D52" s="1"/>
      <c r="E52" s="2">
        <v>24000</v>
      </c>
      <c r="F52" s="1"/>
    </row>
    <row r="53" spans="1:6" x14ac:dyDescent="0.3">
      <c r="A53" s="1"/>
      <c r="B53" s="1" t="s">
        <v>13</v>
      </c>
      <c r="C53" s="1"/>
      <c r="D53" s="1"/>
      <c r="E53" s="1"/>
      <c r="F53" s="2">
        <v>24000</v>
      </c>
    </row>
    <row r="54" spans="1:6" x14ac:dyDescent="0.3">
      <c r="A54" s="1"/>
      <c r="B54" s="1" t="s">
        <v>79</v>
      </c>
      <c r="C54" s="1"/>
      <c r="D54" s="1"/>
      <c r="E54" s="1"/>
      <c r="F54" s="1"/>
    </row>
    <row r="55" spans="1:6" x14ac:dyDescent="0.3">
      <c r="A55" s="1" t="s">
        <v>44</v>
      </c>
      <c r="B55" s="1" t="s">
        <v>15</v>
      </c>
      <c r="C55" s="1" t="s">
        <v>9</v>
      </c>
      <c r="D55" s="1"/>
      <c r="E55" s="2">
        <v>30000</v>
      </c>
      <c r="F55" s="1"/>
    </row>
    <row r="56" spans="1:6" x14ac:dyDescent="0.3">
      <c r="A56" s="1"/>
      <c r="B56" s="1" t="s">
        <v>16</v>
      </c>
      <c r="C56" s="1"/>
      <c r="D56" s="1"/>
      <c r="E56" s="1"/>
      <c r="F56" s="2">
        <v>30000</v>
      </c>
    </row>
    <row r="57" spans="1:6" x14ac:dyDescent="0.3">
      <c r="A57" s="1"/>
      <c r="B57" s="1" t="s">
        <v>80</v>
      </c>
      <c r="C57" s="1"/>
      <c r="D57" s="1"/>
      <c r="E57" s="1"/>
      <c r="F57" s="1"/>
    </row>
    <row r="58" spans="1:6" x14ac:dyDescent="0.3">
      <c r="A58" s="1" t="s">
        <v>45</v>
      </c>
      <c r="B58" s="1" t="s">
        <v>25</v>
      </c>
      <c r="C58" s="1" t="s">
        <v>9</v>
      </c>
      <c r="D58" s="1"/>
      <c r="E58" s="2">
        <v>16000</v>
      </c>
      <c r="F58" s="1"/>
    </row>
    <row r="59" spans="1:6" x14ac:dyDescent="0.3">
      <c r="A59" s="1"/>
      <c r="B59" s="1" t="s">
        <v>13</v>
      </c>
      <c r="C59" s="1"/>
      <c r="D59" s="1"/>
      <c r="E59" s="1"/>
      <c r="F59" s="2">
        <v>16000</v>
      </c>
    </row>
    <row r="60" spans="1:6" x14ac:dyDescent="0.3">
      <c r="A60" s="1"/>
      <c r="B60" s="1" t="s">
        <v>71</v>
      </c>
      <c r="C60" s="1"/>
      <c r="D60" s="1"/>
      <c r="E60" s="1"/>
      <c r="F60" s="1"/>
    </row>
    <row r="61" spans="1:6" x14ac:dyDescent="0.3">
      <c r="A61" s="1" t="s">
        <v>46</v>
      </c>
      <c r="B61" s="1" t="s">
        <v>47</v>
      </c>
      <c r="C61" s="1" t="s">
        <v>9</v>
      </c>
      <c r="D61" s="1"/>
      <c r="E61" s="2">
        <v>30000</v>
      </c>
      <c r="F61" s="1"/>
    </row>
    <row r="62" spans="1:6" x14ac:dyDescent="0.3">
      <c r="A62" s="1"/>
      <c r="B62" s="1" t="s">
        <v>40</v>
      </c>
      <c r="C62" s="1"/>
      <c r="D62" s="1"/>
      <c r="E62" s="1"/>
      <c r="F62" s="2">
        <v>30000</v>
      </c>
    </row>
    <row r="63" spans="1:6" x14ac:dyDescent="0.3">
      <c r="A63" s="1"/>
      <c r="B63" s="1" t="s">
        <v>81</v>
      </c>
      <c r="C63" s="1"/>
      <c r="D63" s="1"/>
      <c r="E63" s="1"/>
      <c r="F63" s="1"/>
    </row>
    <row r="64" spans="1:6" x14ac:dyDescent="0.3">
      <c r="A64" s="1" t="s">
        <v>48</v>
      </c>
      <c r="B64" s="1" t="s">
        <v>8</v>
      </c>
      <c r="C64" s="1" t="s">
        <v>9</v>
      </c>
      <c r="D64" s="1"/>
      <c r="E64" s="2">
        <v>8200</v>
      </c>
      <c r="F64" s="1"/>
    </row>
    <row r="65" spans="1:6" x14ac:dyDescent="0.3">
      <c r="A65" s="1"/>
      <c r="B65" s="1" t="s">
        <v>27</v>
      </c>
      <c r="C65" s="1"/>
      <c r="D65" s="1"/>
      <c r="E65" s="1"/>
      <c r="F65" s="2">
        <v>8200</v>
      </c>
    </row>
    <row r="66" spans="1:6" x14ac:dyDescent="0.3">
      <c r="A66" s="1"/>
      <c r="B66" s="1" t="s">
        <v>76</v>
      </c>
      <c r="C66" s="1"/>
      <c r="D66" s="1"/>
      <c r="E66" s="1"/>
      <c r="F66" s="1"/>
    </row>
    <row r="67" spans="1:6" x14ac:dyDescent="0.3">
      <c r="A67" s="1" t="s">
        <v>49</v>
      </c>
      <c r="B67" s="1" t="s">
        <v>50</v>
      </c>
      <c r="C67" s="1" t="s">
        <v>9</v>
      </c>
      <c r="D67" s="1"/>
      <c r="E67" s="2">
        <v>1499</v>
      </c>
      <c r="F67" s="1"/>
    </row>
    <row r="68" spans="1:6" x14ac:dyDescent="0.3">
      <c r="A68" s="1"/>
      <c r="B68" s="1" t="s">
        <v>13</v>
      </c>
      <c r="C68" s="1"/>
      <c r="D68" s="1"/>
      <c r="E68" s="1"/>
      <c r="F68" s="2">
        <v>1499</v>
      </c>
    </row>
    <row r="69" spans="1:6" x14ac:dyDescent="0.3">
      <c r="A69" s="1"/>
      <c r="B69" s="1" t="s">
        <v>82</v>
      </c>
      <c r="C69" s="1"/>
      <c r="D69" s="1"/>
      <c r="E69" s="1"/>
      <c r="F69" s="1"/>
    </row>
    <row r="70" spans="1:6" x14ac:dyDescent="0.3">
      <c r="A70" s="1" t="s">
        <v>51</v>
      </c>
      <c r="B70" s="1" t="s">
        <v>52</v>
      </c>
      <c r="C70" s="1" t="s">
        <v>9</v>
      </c>
      <c r="D70" s="1"/>
      <c r="E70" s="2">
        <v>4000</v>
      </c>
      <c r="F70" s="1"/>
    </row>
    <row r="71" spans="1:6" x14ac:dyDescent="0.3">
      <c r="A71" s="1"/>
      <c r="B71" s="1" t="s">
        <v>13</v>
      </c>
      <c r="C71" s="1"/>
      <c r="D71" s="1"/>
      <c r="E71" s="1"/>
      <c r="F71" s="2">
        <v>4000</v>
      </c>
    </row>
    <row r="72" spans="1:6" x14ac:dyDescent="0.3">
      <c r="A72" s="1"/>
      <c r="B72" s="1" t="s">
        <v>83</v>
      </c>
      <c r="C72" s="1"/>
      <c r="D72" s="1"/>
      <c r="E72" s="1"/>
      <c r="F72" s="1"/>
    </row>
    <row r="73" spans="1:6" x14ac:dyDescent="0.3">
      <c r="A73" s="1" t="s">
        <v>53</v>
      </c>
      <c r="B73" s="1" t="s">
        <v>8</v>
      </c>
      <c r="C73" s="1" t="s">
        <v>9</v>
      </c>
      <c r="D73" s="1"/>
      <c r="E73" s="2">
        <v>9500</v>
      </c>
      <c r="F73" s="1"/>
    </row>
    <row r="74" spans="1:6" x14ac:dyDescent="0.3">
      <c r="A74" s="1"/>
      <c r="B74" s="1" t="s">
        <v>27</v>
      </c>
      <c r="C74" s="1"/>
      <c r="D74" s="1"/>
      <c r="E74" s="1"/>
      <c r="F74" s="2">
        <v>9500</v>
      </c>
    </row>
    <row r="75" spans="1:6" x14ac:dyDescent="0.3">
      <c r="A75" s="1"/>
      <c r="B75" s="1" t="s">
        <v>76</v>
      </c>
      <c r="C75" s="1"/>
      <c r="D75" s="1"/>
      <c r="E75" s="1"/>
      <c r="F75" s="1"/>
    </row>
    <row r="76" spans="1:6" x14ac:dyDescent="0.3">
      <c r="A76" s="1" t="s">
        <v>54</v>
      </c>
      <c r="B76" s="1" t="s">
        <v>55</v>
      </c>
      <c r="C76" s="1" t="s">
        <v>9</v>
      </c>
      <c r="D76" s="1"/>
      <c r="E76" s="2">
        <v>9800</v>
      </c>
      <c r="F76" s="1"/>
    </row>
    <row r="77" spans="1:6" x14ac:dyDescent="0.3">
      <c r="A77" s="1"/>
      <c r="B77" s="1" t="s">
        <v>13</v>
      </c>
      <c r="C77" s="1"/>
      <c r="D77" s="1"/>
      <c r="E77" s="1"/>
      <c r="F77" s="2">
        <v>9800</v>
      </c>
    </row>
    <row r="78" spans="1:6" x14ac:dyDescent="0.3">
      <c r="A78" s="1"/>
      <c r="B78" s="1" t="s">
        <v>84</v>
      </c>
      <c r="C78" s="1"/>
      <c r="D78" s="1"/>
      <c r="E78" s="1"/>
      <c r="F78" s="1"/>
    </row>
    <row r="79" spans="1:6" x14ac:dyDescent="0.3">
      <c r="A79" s="1" t="s">
        <v>56</v>
      </c>
      <c r="B79" s="1" t="s">
        <v>32</v>
      </c>
      <c r="C79" s="1" t="s">
        <v>9</v>
      </c>
      <c r="D79" s="1"/>
      <c r="E79" s="2">
        <v>2500</v>
      </c>
      <c r="F79" s="1"/>
    </row>
    <row r="80" spans="1:6" x14ac:dyDescent="0.3">
      <c r="A80" s="1"/>
      <c r="B80" s="1" t="s">
        <v>13</v>
      </c>
      <c r="C80" s="1"/>
      <c r="D80" s="1"/>
      <c r="E80" s="1"/>
      <c r="F80" s="2">
        <v>2500</v>
      </c>
    </row>
    <row r="81" spans="1:6" x14ac:dyDescent="0.3">
      <c r="A81" s="1"/>
      <c r="B81" s="1" t="s">
        <v>74</v>
      </c>
      <c r="C81" s="1"/>
      <c r="D81" s="1"/>
      <c r="E81" s="1"/>
      <c r="F81" s="1"/>
    </row>
    <row r="82" spans="1:6" x14ac:dyDescent="0.3">
      <c r="A82" s="1" t="s">
        <v>57</v>
      </c>
      <c r="B82" s="1" t="s">
        <v>8</v>
      </c>
      <c r="C82" s="1" t="s">
        <v>9</v>
      </c>
      <c r="D82" s="1"/>
      <c r="E82" s="2">
        <v>8800</v>
      </c>
      <c r="F82" s="1"/>
    </row>
    <row r="83" spans="1:6" x14ac:dyDescent="0.3">
      <c r="A83" s="1"/>
      <c r="B83" s="1" t="s">
        <v>27</v>
      </c>
      <c r="C83" s="1"/>
      <c r="D83" s="1"/>
      <c r="E83" s="1"/>
      <c r="F83" s="2">
        <v>8800</v>
      </c>
    </row>
    <row r="84" spans="1:6" x14ac:dyDescent="0.3">
      <c r="A84" s="1"/>
      <c r="B84" s="1" t="s">
        <v>76</v>
      </c>
      <c r="C84" s="1"/>
      <c r="D84" s="1"/>
      <c r="E84" s="1"/>
      <c r="F84" s="1"/>
    </row>
    <row r="85" spans="1:6" x14ac:dyDescent="0.3">
      <c r="A85" s="1" t="s">
        <v>58</v>
      </c>
      <c r="B85" s="1" t="s">
        <v>8</v>
      </c>
      <c r="C85" s="1" t="s">
        <v>9</v>
      </c>
      <c r="D85" s="1"/>
      <c r="E85" s="2">
        <v>10000</v>
      </c>
      <c r="F85" s="1"/>
    </row>
    <row r="86" spans="1:6" x14ac:dyDescent="0.3">
      <c r="A86" s="1"/>
      <c r="B86" s="1" t="s">
        <v>16</v>
      </c>
      <c r="C86" s="1"/>
      <c r="D86" s="1"/>
      <c r="E86" s="1"/>
      <c r="F86" s="2">
        <v>10000</v>
      </c>
    </row>
    <row r="87" spans="1:6" x14ac:dyDescent="0.3">
      <c r="A87" s="1"/>
      <c r="B87" s="1" t="s">
        <v>85</v>
      </c>
      <c r="C87" s="1"/>
      <c r="D87" s="1"/>
      <c r="E87" s="1"/>
      <c r="F87" s="1"/>
    </row>
    <row r="88" spans="1:6" x14ac:dyDescent="0.3">
      <c r="A88" s="1" t="s">
        <v>59</v>
      </c>
      <c r="B88" s="1" t="s">
        <v>60</v>
      </c>
      <c r="C88" s="1" t="s">
        <v>9</v>
      </c>
      <c r="D88" s="1"/>
      <c r="E88" s="2">
        <v>2500</v>
      </c>
      <c r="F88" s="1"/>
    </row>
    <row r="89" spans="1:6" x14ac:dyDescent="0.3">
      <c r="A89" s="1"/>
      <c r="B89" s="1" t="s">
        <v>13</v>
      </c>
      <c r="C89" s="1"/>
      <c r="D89" s="1"/>
      <c r="E89" s="1"/>
      <c r="F89" s="2">
        <v>2500</v>
      </c>
    </row>
    <row r="90" spans="1:6" x14ac:dyDescent="0.3">
      <c r="A90" s="1"/>
      <c r="B90" s="1" t="s">
        <v>86</v>
      </c>
      <c r="C90" s="1"/>
      <c r="D90" s="1"/>
      <c r="E90" s="1"/>
      <c r="F90" s="1"/>
    </row>
    <row r="91" spans="1:6" x14ac:dyDescent="0.3">
      <c r="A91" s="1" t="s">
        <v>61</v>
      </c>
      <c r="B91" s="1" t="s">
        <v>62</v>
      </c>
      <c r="C91" s="1" t="s">
        <v>9</v>
      </c>
      <c r="D91" s="1"/>
      <c r="E91" s="2">
        <v>3000</v>
      </c>
      <c r="F91" s="1"/>
    </row>
    <row r="92" spans="1:6" x14ac:dyDescent="0.3">
      <c r="A92" s="1"/>
      <c r="B92" s="1" t="s">
        <v>13</v>
      </c>
      <c r="C92" s="1"/>
      <c r="D92" s="1"/>
      <c r="E92" s="1"/>
      <c r="F92" s="2">
        <v>3000</v>
      </c>
    </row>
    <row r="93" spans="1:6" x14ac:dyDescent="0.3">
      <c r="A93" s="1"/>
      <c r="B93" s="1" t="s">
        <v>87</v>
      </c>
      <c r="C93" s="1"/>
      <c r="D93" s="1"/>
      <c r="E93" s="1"/>
      <c r="F93" s="1"/>
    </row>
    <row r="94" spans="1:6" x14ac:dyDescent="0.3">
      <c r="A94" s="1" t="s">
        <v>63</v>
      </c>
      <c r="B94" s="1" t="s">
        <v>43</v>
      </c>
      <c r="C94" s="1" t="s">
        <v>9</v>
      </c>
      <c r="D94" s="1"/>
      <c r="E94" s="2">
        <v>24000</v>
      </c>
      <c r="F94" s="1"/>
    </row>
    <row r="95" spans="1:6" x14ac:dyDescent="0.3">
      <c r="A95" s="1"/>
      <c r="B95" s="1" t="s">
        <v>13</v>
      </c>
      <c r="C95" s="1"/>
      <c r="D95" s="1"/>
      <c r="E95" s="1"/>
      <c r="F95" s="2">
        <v>24000</v>
      </c>
    </row>
    <row r="96" spans="1:6" x14ac:dyDescent="0.3">
      <c r="A96" s="1"/>
      <c r="B96" s="1" t="s">
        <v>64</v>
      </c>
      <c r="C96" s="1"/>
      <c r="D96" s="1"/>
      <c r="E96" s="1"/>
      <c r="F96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D5AC-8F6C-4432-8E92-A407BA0E79BE}">
  <dimension ref="A1:H133"/>
  <sheetViews>
    <sheetView topLeftCell="A123" workbookViewId="0">
      <selection activeCell="E135" sqref="E135"/>
    </sheetView>
  </sheetViews>
  <sheetFormatPr defaultRowHeight="14.4" x14ac:dyDescent="0.3"/>
  <cols>
    <col min="2" max="2" width="29" customWidth="1"/>
    <col min="3" max="3" width="2.33203125" bestFit="1" customWidth="1"/>
    <col min="6" max="6" width="28.77734375" customWidth="1"/>
    <col min="7" max="7" width="2.33203125" bestFit="1" customWidth="1"/>
  </cols>
  <sheetData>
    <row r="1" spans="1:8" x14ac:dyDescent="0.3">
      <c r="A1" s="46" t="s">
        <v>88</v>
      </c>
      <c r="B1" s="46"/>
      <c r="C1" s="46"/>
      <c r="D1" s="46"/>
      <c r="E1" s="46"/>
      <c r="F1" s="46"/>
      <c r="G1" s="46"/>
      <c r="H1" s="46"/>
    </row>
    <row r="2" spans="1:8" x14ac:dyDescent="0.3">
      <c r="A2" s="46" t="s">
        <v>95</v>
      </c>
      <c r="B2" s="46"/>
      <c r="C2" s="46"/>
      <c r="D2" s="46"/>
      <c r="E2" s="46"/>
      <c r="F2" s="46"/>
      <c r="G2" s="46"/>
      <c r="H2" s="46"/>
    </row>
    <row r="3" spans="1:8" x14ac:dyDescent="0.3">
      <c r="A3" s="4" t="s">
        <v>89</v>
      </c>
      <c r="B3" s="4" t="s">
        <v>3</v>
      </c>
      <c r="C3" s="4" t="s">
        <v>96</v>
      </c>
      <c r="D3" s="4" t="s">
        <v>97</v>
      </c>
      <c r="E3" s="4" t="s">
        <v>89</v>
      </c>
      <c r="F3" s="4" t="s">
        <v>3</v>
      </c>
      <c r="G3" s="4" t="s">
        <v>96</v>
      </c>
      <c r="H3" s="4" t="s">
        <v>97</v>
      </c>
    </row>
    <row r="4" spans="1:8" x14ac:dyDescent="0.3">
      <c r="A4" s="1" t="s">
        <v>63</v>
      </c>
      <c r="B4" s="1" t="s">
        <v>98</v>
      </c>
      <c r="C4" s="1"/>
      <c r="D4" s="5">
        <v>800000</v>
      </c>
      <c r="E4" s="1" t="s">
        <v>7</v>
      </c>
      <c r="F4" s="1" t="s">
        <v>99</v>
      </c>
      <c r="G4" s="1"/>
      <c r="H4" s="2">
        <v>800000</v>
      </c>
    </row>
    <row r="5" spans="1:8" x14ac:dyDescent="0.3">
      <c r="A5" s="1"/>
      <c r="B5" s="1"/>
      <c r="C5" s="1"/>
      <c r="D5" s="5">
        <v>800000</v>
      </c>
      <c r="E5" s="1"/>
      <c r="F5" s="1"/>
      <c r="G5" s="1"/>
      <c r="H5" s="5">
        <v>800000</v>
      </c>
    </row>
    <row r="6" spans="1:8" x14ac:dyDescent="0.3">
      <c r="A6" s="1"/>
      <c r="B6" s="1"/>
      <c r="C6" s="1"/>
      <c r="D6" s="1"/>
      <c r="E6" s="1" t="s">
        <v>91</v>
      </c>
      <c r="F6" s="1" t="s">
        <v>100</v>
      </c>
      <c r="G6" s="1"/>
      <c r="H6" s="5">
        <v>800000</v>
      </c>
    </row>
    <row r="7" spans="1:8" x14ac:dyDescent="0.3">
      <c r="A7" s="47" t="s">
        <v>101</v>
      </c>
      <c r="B7" s="47"/>
      <c r="C7" s="47"/>
      <c r="D7" s="47"/>
      <c r="E7" s="47"/>
      <c r="F7" s="47"/>
      <c r="G7" s="47"/>
      <c r="H7" s="47"/>
    </row>
    <row r="8" spans="1:8" x14ac:dyDescent="0.3">
      <c r="A8" s="4" t="s">
        <v>89</v>
      </c>
      <c r="B8" s="4" t="s">
        <v>3</v>
      </c>
      <c r="C8" s="4" t="s">
        <v>96</v>
      </c>
      <c r="D8" s="4" t="s">
        <v>97</v>
      </c>
      <c r="E8" s="4" t="s">
        <v>89</v>
      </c>
      <c r="F8" s="4" t="s">
        <v>3</v>
      </c>
      <c r="G8" s="4" t="s">
        <v>96</v>
      </c>
      <c r="H8" s="4" t="s">
        <v>97</v>
      </c>
    </row>
    <row r="9" spans="1:8" x14ac:dyDescent="0.3">
      <c r="A9" s="1" t="s">
        <v>7</v>
      </c>
      <c r="B9" s="1" t="s">
        <v>92</v>
      </c>
      <c r="C9" s="1"/>
      <c r="D9" s="2">
        <v>800000</v>
      </c>
      <c r="E9" s="1" t="s">
        <v>93</v>
      </c>
      <c r="F9" s="1" t="s">
        <v>94</v>
      </c>
      <c r="G9" s="1"/>
      <c r="H9" s="2">
        <v>450000</v>
      </c>
    </row>
    <row r="10" spans="1:8" x14ac:dyDescent="0.3">
      <c r="A10" s="1" t="s">
        <v>26</v>
      </c>
      <c r="B10" s="1" t="s">
        <v>27</v>
      </c>
      <c r="C10" s="1"/>
      <c r="D10" s="2">
        <v>4800</v>
      </c>
      <c r="E10" s="1" t="s">
        <v>17</v>
      </c>
      <c r="F10" s="1" t="s">
        <v>102</v>
      </c>
      <c r="G10" s="1"/>
      <c r="H10" s="2">
        <v>75000</v>
      </c>
    </row>
    <row r="11" spans="1:8" x14ac:dyDescent="0.3">
      <c r="A11" s="1" t="s">
        <v>30</v>
      </c>
      <c r="B11" s="1" t="s">
        <v>27</v>
      </c>
      <c r="C11" s="1"/>
      <c r="D11" s="2">
        <v>5500</v>
      </c>
      <c r="E11" s="1" t="s">
        <v>22</v>
      </c>
      <c r="F11" s="1" t="s">
        <v>103</v>
      </c>
      <c r="G11" s="1"/>
      <c r="H11" s="2">
        <v>2500</v>
      </c>
    </row>
    <row r="12" spans="1:8" x14ac:dyDescent="0.3">
      <c r="A12" s="1" t="s">
        <v>35</v>
      </c>
      <c r="B12" s="1" t="s">
        <v>27</v>
      </c>
      <c r="C12" s="1"/>
      <c r="D12" s="2">
        <v>6300</v>
      </c>
      <c r="E12" s="1" t="s">
        <v>24</v>
      </c>
      <c r="F12" s="1" t="s">
        <v>104</v>
      </c>
      <c r="G12" s="1"/>
      <c r="H12" s="2">
        <v>15000</v>
      </c>
    </row>
    <row r="13" spans="1:8" x14ac:dyDescent="0.3">
      <c r="A13" s="1" t="s">
        <v>41</v>
      </c>
      <c r="B13" s="1" t="s">
        <v>27</v>
      </c>
      <c r="C13" s="1"/>
      <c r="D13" s="2">
        <v>7100</v>
      </c>
      <c r="E13" s="1" t="s">
        <v>28</v>
      </c>
      <c r="F13" s="1" t="s">
        <v>105</v>
      </c>
      <c r="G13" s="1"/>
      <c r="H13" s="2">
        <v>3000</v>
      </c>
    </row>
    <row r="14" spans="1:8" x14ac:dyDescent="0.3">
      <c r="A14" s="1" t="s">
        <v>48</v>
      </c>
      <c r="B14" s="1" t="s">
        <v>27</v>
      </c>
      <c r="C14" s="1"/>
      <c r="D14" s="2">
        <v>8200</v>
      </c>
      <c r="E14" s="1" t="s">
        <v>31</v>
      </c>
      <c r="F14" s="1" t="s">
        <v>106</v>
      </c>
      <c r="G14" s="1"/>
      <c r="H14" s="2">
        <v>2200</v>
      </c>
    </row>
    <row r="15" spans="1:8" x14ac:dyDescent="0.3">
      <c r="A15" s="1" t="s">
        <v>53</v>
      </c>
      <c r="B15" s="1" t="s">
        <v>27</v>
      </c>
      <c r="C15" s="1"/>
      <c r="D15" s="2">
        <v>9500</v>
      </c>
      <c r="E15" s="1" t="s">
        <v>36</v>
      </c>
      <c r="F15" s="1" t="s">
        <v>107</v>
      </c>
      <c r="G15" s="1"/>
      <c r="H15" s="2">
        <v>8000</v>
      </c>
    </row>
    <row r="16" spans="1:8" x14ac:dyDescent="0.3">
      <c r="A16" s="1" t="s">
        <v>57</v>
      </c>
      <c r="B16" s="1" t="s">
        <v>27</v>
      </c>
      <c r="C16" s="1"/>
      <c r="D16" s="2">
        <v>8800</v>
      </c>
      <c r="E16" s="1" t="s">
        <v>38</v>
      </c>
      <c r="F16" s="1" t="s">
        <v>108</v>
      </c>
      <c r="G16" s="1"/>
      <c r="H16" s="2">
        <v>800</v>
      </c>
    </row>
    <row r="17" spans="1:8" x14ac:dyDescent="0.3">
      <c r="A17" s="1" t="s">
        <v>58</v>
      </c>
      <c r="B17" s="1" t="s">
        <v>16</v>
      </c>
      <c r="C17" s="1"/>
      <c r="D17" s="2">
        <v>10000</v>
      </c>
      <c r="E17" s="1" t="s">
        <v>42</v>
      </c>
      <c r="F17" s="1" t="s">
        <v>109</v>
      </c>
      <c r="G17" s="1"/>
      <c r="H17" s="2">
        <v>24000</v>
      </c>
    </row>
    <row r="18" spans="1:8" x14ac:dyDescent="0.3">
      <c r="A18" s="1"/>
      <c r="B18" s="1"/>
      <c r="C18" s="1"/>
      <c r="D18" s="1"/>
      <c r="E18" s="1" t="s">
        <v>45</v>
      </c>
      <c r="F18" s="1" t="s">
        <v>104</v>
      </c>
      <c r="G18" s="1"/>
      <c r="H18" s="2">
        <v>16000</v>
      </c>
    </row>
    <row r="19" spans="1:8" x14ac:dyDescent="0.3">
      <c r="A19" s="1"/>
      <c r="B19" s="1"/>
      <c r="C19" s="1"/>
      <c r="D19" s="1"/>
      <c r="E19" s="1" t="s">
        <v>46</v>
      </c>
      <c r="F19" s="1" t="s">
        <v>110</v>
      </c>
      <c r="G19" s="1"/>
      <c r="H19" s="2">
        <v>30000</v>
      </c>
    </row>
    <row r="20" spans="1:8" x14ac:dyDescent="0.3">
      <c r="A20" s="1"/>
      <c r="B20" s="1"/>
      <c r="C20" s="1"/>
      <c r="D20" s="1"/>
      <c r="E20" s="1" t="s">
        <v>49</v>
      </c>
      <c r="F20" s="1" t="s">
        <v>111</v>
      </c>
      <c r="G20" s="1"/>
      <c r="H20" s="2">
        <v>1499</v>
      </c>
    </row>
    <row r="21" spans="1:8" x14ac:dyDescent="0.3">
      <c r="A21" s="1"/>
      <c r="B21" s="1"/>
      <c r="C21" s="1"/>
      <c r="D21" s="1"/>
      <c r="E21" s="1" t="s">
        <v>51</v>
      </c>
      <c r="F21" s="1" t="s">
        <v>112</v>
      </c>
      <c r="G21" s="1"/>
      <c r="H21" s="2">
        <v>4000</v>
      </c>
    </row>
    <row r="22" spans="1:8" x14ac:dyDescent="0.3">
      <c r="A22" s="1"/>
      <c r="B22" s="1"/>
      <c r="C22" s="1"/>
      <c r="D22" s="1"/>
      <c r="E22" s="1" t="s">
        <v>54</v>
      </c>
      <c r="F22" s="1" t="s">
        <v>113</v>
      </c>
      <c r="G22" s="1"/>
      <c r="H22" s="2">
        <v>9800</v>
      </c>
    </row>
    <row r="23" spans="1:8" x14ac:dyDescent="0.3">
      <c r="A23" s="1"/>
      <c r="B23" s="1"/>
      <c r="C23" s="1"/>
      <c r="D23" s="1"/>
      <c r="E23" s="1" t="s">
        <v>56</v>
      </c>
      <c r="F23" s="1" t="s">
        <v>106</v>
      </c>
      <c r="G23" s="1"/>
      <c r="H23" s="2">
        <v>2500</v>
      </c>
    </row>
    <row r="24" spans="1:8" x14ac:dyDescent="0.3">
      <c r="A24" s="1"/>
      <c r="B24" s="1"/>
      <c r="C24" s="1"/>
      <c r="D24" s="1"/>
      <c r="E24" s="1" t="s">
        <v>59</v>
      </c>
      <c r="F24" s="1" t="s">
        <v>114</v>
      </c>
      <c r="G24" s="1"/>
      <c r="H24" s="2">
        <v>2500</v>
      </c>
    </row>
    <row r="25" spans="1:8" x14ac:dyDescent="0.3">
      <c r="A25" s="1"/>
      <c r="B25" s="1"/>
      <c r="C25" s="1"/>
      <c r="D25" s="1"/>
      <c r="E25" s="1" t="s">
        <v>61</v>
      </c>
      <c r="F25" s="1" t="s">
        <v>115</v>
      </c>
      <c r="G25" s="1"/>
      <c r="H25" s="2">
        <v>3000</v>
      </c>
    </row>
    <row r="26" spans="1:8" x14ac:dyDescent="0.3">
      <c r="A26" s="1"/>
      <c r="B26" s="1"/>
      <c r="C26" s="1"/>
      <c r="D26" s="1"/>
      <c r="E26" s="1" t="s">
        <v>63</v>
      </c>
      <c r="F26" s="1" t="s">
        <v>109</v>
      </c>
      <c r="G26" s="1"/>
      <c r="H26" s="2">
        <v>24000</v>
      </c>
    </row>
    <row r="27" spans="1:8" x14ac:dyDescent="0.3">
      <c r="A27" s="1"/>
      <c r="B27" s="1"/>
      <c r="C27" s="1"/>
      <c r="D27" s="1"/>
      <c r="E27" s="1" t="s">
        <v>63</v>
      </c>
      <c r="F27" s="1" t="s">
        <v>116</v>
      </c>
      <c r="G27" s="1"/>
      <c r="H27" s="5">
        <v>186401</v>
      </c>
    </row>
    <row r="28" spans="1:8" x14ac:dyDescent="0.3">
      <c r="A28" s="1"/>
      <c r="B28" s="1"/>
      <c r="C28" s="1"/>
      <c r="D28" s="5">
        <v>860200</v>
      </c>
      <c r="E28" s="1"/>
      <c r="F28" s="1"/>
      <c r="G28" s="1"/>
      <c r="H28" s="5">
        <v>860200</v>
      </c>
    </row>
    <row r="29" spans="1:8" x14ac:dyDescent="0.3">
      <c r="A29" s="1" t="s">
        <v>91</v>
      </c>
      <c r="B29" s="1" t="s">
        <v>117</v>
      </c>
      <c r="C29" s="1"/>
      <c r="D29" s="5">
        <v>186401</v>
      </c>
      <c r="E29" s="1"/>
      <c r="F29" s="1"/>
      <c r="G29" s="1"/>
      <c r="H29" s="1"/>
    </row>
    <row r="30" spans="1:8" x14ac:dyDescent="0.3">
      <c r="A30" s="47" t="s">
        <v>118</v>
      </c>
      <c r="B30" s="47"/>
      <c r="C30" s="47"/>
      <c r="D30" s="47"/>
      <c r="E30" s="47"/>
      <c r="F30" s="47"/>
      <c r="G30" s="47"/>
      <c r="H30" s="47"/>
    </row>
    <row r="31" spans="1:8" x14ac:dyDescent="0.3">
      <c r="A31" s="4" t="s">
        <v>89</v>
      </c>
      <c r="B31" s="4" t="s">
        <v>3</v>
      </c>
      <c r="C31" s="4" t="s">
        <v>96</v>
      </c>
      <c r="D31" s="4" t="s">
        <v>97</v>
      </c>
      <c r="E31" s="4" t="s">
        <v>89</v>
      </c>
      <c r="F31" s="4" t="s">
        <v>3</v>
      </c>
      <c r="G31" s="4" t="s">
        <v>96</v>
      </c>
      <c r="H31" s="4" t="s">
        <v>97</v>
      </c>
    </row>
    <row r="32" spans="1:8" x14ac:dyDescent="0.3">
      <c r="A32" s="1" t="s">
        <v>93</v>
      </c>
      <c r="B32" s="1" t="s">
        <v>119</v>
      </c>
      <c r="C32" s="1"/>
      <c r="D32" s="2">
        <v>450000</v>
      </c>
      <c r="E32" s="1" t="s">
        <v>14</v>
      </c>
      <c r="F32" s="1" t="s">
        <v>120</v>
      </c>
      <c r="G32" s="1"/>
      <c r="H32" s="2">
        <v>30000</v>
      </c>
    </row>
    <row r="33" spans="1:8" x14ac:dyDescent="0.3">
      <c r="A33" s="1"/>
      <c r="B33" s="1"/>
      <c r="C33" s="1"/>
      <c r="D33" s="1"/>
      <c r="E33" s="1" t="s">
        <v>44</v>
      </c>
      <c r="F33" s="1" t="s">
        <v>120</v>
      </c>
      <c r="G33" s="1"/>
      <c r="H33" s="2">
        <v>30000</v>
      </c>
    </row>
    <row r="34" spans="1:8" x14ac:dyDescent="0.3">
      <c r="A34" s="1"/>
      <c r="B34" s="1"/>
      <c r="C34" s="1"/>
      <c r="D34" s="1"/>
      <c r="E34" s="1" t="s">
        <v>58</v>
      </c>
      <c r="F34" s="1" t="s">
        <v>99</v>
      </c>
      <c r="G34" s="1"/>
      <c r="H34" s="2">
        <v>10000</v>
      </c>
    </row>
    <row r="35" spans="1:8" x14ac:dyDescent="0.3">
      <c r="A35" s="1"/>
      <c r="B35" s="1"/>
      <c r="C35" s="1"/>
      <c r="D35" s="1"/>
      <c r="E35" s="1" t="s">
        <v>63</v>
      </c>
      <c r="F35" s="1" t="s">
        <v>116</v>
      </c>
      <c r="G35" s="1"/>
      <c r="H35" s="5">
        <v>380000</v>
      </c>
    </row>
    <row r="36" spans="1:8" x14ac:dyDescent="0.3">
      <c r="A36" s="1"/>
      <c r="B36" s="1"/>
      <c r="C36" s="1"/>
      <c r="D36" s="5">
        <v>450000</v>
      </c>
      <c r="E36" s="1"/>
      <c r="F36" s="1"/>
      <c r="G36" s="1"/>
      <c r="H36" s="5">
        <v>450000</v>
      </c>
    </row>
    <row r="37" spans="1:8" x14ac:dyDescent="0.3">
      <c r="A37" s="1" t="s">
        <v>91</v>
      </c>
      <c r="B37" s="1" t="s">
        <v>117</v>
      </c>
      <c r="C37" s="1"/>
      <c r="D37" s="5">
        <v>380000</v>
      </c>
      <c r="E37" s="1"/>
      <c r="F37" s="1"/>
      <c r="G37" s="1"/>
      <c r="H37" s="1"/>
    </row>
    <row r="38" spans="1:8" x14ac:dyDescent="0.3">
      <c r="A38" s="48" t="s">
        <v>121</v>
      </c>
      <c r="B38" s="48"/>
      <c r="C38" s="48"/>
      <c r="D38" s="48"/>
      <c r="E38" s="48"/>
      <c r="F38" s="48"/>
      <c r="G38" s="48"/>
      <c r="H38" s="48"/>
    </row>
    <row r="39" spans="1:8" x14ac:dyDescent="0.3">
      <c r="A39" s="6" t="s">
        <v>89</v>
      </c>
      <c r="B39" s="6" t="s">
        <v>3</v>
      </c>
      <c r="C39" s="6" t="s">
        <v>96</v>
      </c>
      <c r="D39" s="7" t="s">
        <v>90</v>
      </c>
      <c r="E39" s="6" t="s">
        <v>89</v>
      </c>
      <c r="F39" s="6" t="s">
        <v>3</v>
      </c>
      <c r="G39" s="6" t="s">
        <v>96</v>
      </c>
      <c r="H39" s="6" t="s">
        <v>90</v>
      </c>
    </row>
    <row r="40" spans="1:8" x14ac:dyDescent="0.3">
      <c r="A40" s="8" t="s">
        <v>93</v>
      </c>
      <c r="B40" s="9" t="s">
        <v>122</v>
      </c>
      <c r="C40" s="9"/>
      <c r="D40" s="10">
        <v>30000</v>
      </c>
      <c r="E40" s="8" t="s">
        <v>63</v>
      </c>
      <c r="F40" s="9" t="s">
        <v>123</v>
      </c>
      <c r="G40" s="9"/>
      <c r="H40" s="10">
        <v>60000</v>
      </c>
    </row>
    <row r="41" spans="1:8" x14ac:dyDescent="0.3">
      <c r="A41" s="8" t="s">
        <v>44</v>
      </c>
      <c r="B41" s="9" t="s">
        <v>122</v>
      </c>
      <c r="C41" s="9"/>
      <c r="D41" s="10">
        <v>30000</v>
      </c>
      <c r="E41" s="8"/>
      <c r="F41" s="9"/>
      <c r="G41" s="9"/>
      <c r="H41" s="10"/>
    </row>
    <row r="42" spans="1:8" x14ac:dyDescent="0.3">
      <c r="A42" s="11"/>
      <c r="B42" s="12"/>
      <c r="C42" s="12"/>
      <c r="D42" s="13">
        <v>60000</v>
      </c>
      <c r="E42" s="14"/>
      <c r="F42" s="15"/>
      <c r="G42" s="15"/>
      <c r="H42" s="13">
        <v>60000</v>
      </c>
    </row>
    <row r="43" spans="1:8" x14ac:dyDescent="0.3">
      <c r="A43" s="8" t="s">
        <v>91</v>
      </c>
      <c r="B43" s="9" t="s">
        <v>124</v>
      </c>
      <c r="C43" s="9"/>
      <c r="D43" s="16">
        <v>60000</v>
      </c>
      <c r="E43" s="17"/>
      <c r="F43" s="18"/>
      <c r="G43" s="18"/>
      <c r="H43" s="19"/>
    </row>
    <row r="44" spans="1:8" x14ac:dyDescent="0.3">
      <c r="A44" s="48" t="s">
        <v>125</v>
      </c>
      <c r="B44" s="48"/>
      <c r="C44" s="48"/>
      <c r="D44" s="48"/>
      <c r="E44" s="48"/>
      <c r="F44" s="48"/>
      <c r="G44" s="48"/>
      <c r="H44" s="48"/>
    </row>
    <row r="45" spans="1:8" x14ac:dyDescent="0.3">
      <c r="A45" s="6" t="s">
        <v>89</v>
      </c>
      <c r="B45" s="6" t="s">
        <v>3</v>
      </c>
      <c r="C45" s="6" t="s">
        <v>96</v>
      </c>
      <c r="D45" s="7" t="s">
        <v>90</v>
      </c>
      <c r="E45" s="6" t="s">
        <v>89</v>
      </c>
      <c r="F45" s="6" t="s">
        <v>3</v>
      </c>
      <c r="G45" s="6" t="s">
        <v>96</v>
      </c>
      <c r="H45" s="6" t="s">
        <v>90</v>
      </c>
    </row>
    <row r="46" spans="1:8" x14ac:dyDescent="0.3">
      <c r="A46" s="8" t="s">
        <v>17</v>
      </c>
      <c r="B46" s="9" t="s">
        <v>126</v>
      </c>
      <c r="C46" s="9"/>
      <c r="D46" s="10">
        <v>75000</v>
      </c>
      <c r="E46" s="8" t="s">
        <v>63</v>
      </c>
      <c r="F46" s="9" t="s">
        <v>123</v>
      </c>
      <c r="G46" s="9"/>
      <c r="H46" s="10">
        <v>75000</v>
      </c>
    </row>
    <row r="47" spans="1:8" x14ac:dyDescent="0.3">
      <c r="A47" s="11"/>
      <c r="B47" s="12"/>
      <c r="C47" s="12"/>
      <c r="D47" s="16">
        <v>75000</v>
      </c>
      <c r="E47" s="14"/>
      <c r="F47" s="15"/>
      <c r="G47" s="15"/>
      <c r="H47" s="16">
        <v>75000</v>
      </c>
    </row>
    <row r="48" spans="1:8" x14ac:dyDescent="0.3">
      <c r="A48" s="8" t="s">
        <v>91</v>
      </c>
      <c r="B48" s="9" t="s">
        <v>124</v>
      </c>
      <c r="C48" s="9"/>
      <c r="D48" s="16">
        <v>75000</v>
      </c>
      <c r="E48" s="17"/>
      <c r="F48" s="18"/>
      <c r="G48" s="18"/>
      <c r="H48" s="19"/>
    </row>
    <row r="49" spans="1:8" x14ac:dyDescent="0.3">
      <c r="A49" s="48" t="s">
        <v>127</v>
      </c>
      <c r="B49" s="48"/>
      <c r="C49" s="48"/>
      <c r="D49" s="48"/>
      <c r="E49" s="48"/>
      <c r="F49" s="48"/>
      <c r="G49" s="48"/>
      <c r="H49" s="48"/>
    </row>
    <row r="50" spans="1:8" x14ac:dyDescent="0.3">
      <c r="A50" s="6" t="s">
        <v>89</v>
      </c>
      <c r="B50" s="6" t="s">
        <v>3</v>
      </c>
      <c r="C50" s="6" t="s">
        <v>96</v>
      </c>
      <c r="D50" s="7" t="s">
        <v>90</v>
      </c>
      <c r="E50" s="6" t="s">
        <v>89</v>
      </c>
      <c r="F50" s="6" t="s">
        <v>3</v>
      </c>
      <c r="G50" s="6" t="s">
        <v>96</v>
      </c>
      <c r="H50" s="6" t="s">
        <v>90</v>
      </c>
    </row>
    <row r="51" spans="1:8" x14ac:dyDescent="0.3">
      <c r="A51" s="8" t="s">
        <v>19</v>
      </c>
      <c r="B51" s="9" t="s">
        <v>128</v>
      </c>
      <c r="C51" s="9"/>
      <c r="D51" s="10">
        <v>55000</v>
      </c>
      <c r="E51" s="8" t="s">
        <v>63</v>
      </c>
      <c r="F51" s="9" t="s">
        <v>123</v>
      </c>
      <c r="G51" s="9"/>
      <c r="H51" s="10">
        <v>55000</v>
      </c>
    </row>
    <row r="52" spans="1:8" x14ac:dyDescent="0.3">
      <c r="A52" s="11"/>
      <c r="B52" s="12"/>
      <c r="C52" s="12"/>
      <c r="D52" s="16">
        <v>55000</v>
      </c>
      <c r="E52" s="14"/>
      <c r="F52" s="15"/>
      <c r="G52" s="15"/>
      <c r="H52" s="16">
        <v>55000</v>
      </c>
    </row>
    <row r="53" spans="1:8" x14ac:dyDescent="0.3">
      <c r="A53" s="8" t="s">
        <v>91</v>
      </c>
      <c r="B53" s="9" t="s">
        <v>124</v>
      </c>
      <c r="C53" s="9"/>
      <c r="D53" s="16">
        <v>55000</v>
      </c>
      <c r="E53" s="17"/>
      <c r="F53" s="18"/>
      <c r="G53" s="18"/>
      <c r="H53" s="19"/>
    </row>
    <row r="54" spans="1:8" x14ac:dyDescent="0.3">
      <c r="A54" s="48" t="s">
        <v>129</v>
      </c>
      <c r="B54" s="48"/>
      <c r="C54" s="48"/>
      <c r="D54" s="48"/>
      <c r="E54" s="48"/>
      <c r="F54" s="48"/>
      <c r="G54" s="48"/>
      <c r="H54" s="48"/>
    </row>
    <row r="55" spans="1:8" x14ac:dyDescent="0.3">
      <c r="A55" s="6" t="s">
        <v>89</v>
      </c>
      <c r="B55" s="6" t="s">
        <v>3</v>
      </c>
      <c r="C55" s="6" t="s">
        <v>96</v>
      </c>
      <c r="D55" s="7" t="s">
        <v>90</v>
      </c>
      <c r="E55" s="6" t="s">
        <v>89</v>
      </c>
      <c r="F55" s="6" t="s">
        <v>3</v>
      </c>
      <c r="G55" s="6" t="s">
        <v>96</v>
      </c>
      <c r="H55" s="6" t="s">
        <v>90</v>
      </c>
    </row>
    <row r="56" spans="1:8" x14ac:dyDescent="0.3">
      <c r="A56" s="8" t="s">
        <v>46</v>
      </c>
      <c r="B56" s="9" t="s">
        <v>130</v>
      </c>
      <c r="C56" s="9"/>
      <c r="D56" s="10">
        <v>30000</v>
      </c>
      <c r="E56" s="8" t="s">
        <v>19</v>
      </c>
      <c r="F56" s="9" t="s">
        <v>131</v>
      </c>
      <c r="G56" s="9"/>
      <c r="H56" s="10">
        <v>55000</v>
      </c>
    </row>
    <row r="57" spans="1:8" x14ac:dyDescent="0.3">
      <c r="A57" s="8" t="s">
        <v>63</v>
      </c>
      <c r="B57" s="9" t="s">
        <v>132</v>
      </c>
      <c r="C57" s="9"/>
      <c r="D57" s="10">
        <v>25000</v>
      </c>
      <c r="E57" s="8"/>
      <c r="F57" s="9"/>
      <c r="G57" s="9"/>
      <c r="H57" s="10"/>
    </row>
    <row r="58" spans="1:8" x14ac:dyDescent="0.3">
      <c r="A58" s="11"/>
      <c r="B58" s="12"/>
      <c r="C58" s="12"/>
      <c r="D58" s="16">
        <v>55000</v>
      </c>
      <c r="E58" s="14"/>
      <c r="F58" s="15"/>
      <c r="G58" s="15"/>
      <c r="H58" s="16">
        <v>55000</v>
      </c>
    </row>
    <row r="59" spans="1:8" x14ac:dyDescent="0.3">
      <c r="A59" s="8"/>
      <c r="B59" s="9"/>
      <c r="C59" s="9"/>
      <c r="D59" s="16"/>
      <c r="E59" s="8" t="s">
        <v>91</v>
      </c>
      <c r="F59" s="9" t="s">
        <v>133</v>
      </c>
      <c r="G59" s="18"/>
      <c r="H59" s="19">
        <v>25000</v>
      </c>
    </row>
    <row r="60" spans="1:8" x14ac:dyDescent="0.3">
      <c r="A60" s="48" t="s">
        <v>134</v>
      </c>
      <c r="B60" s="48"/>
      <c r="C60" s="48"/>
      <c r="D60" s="48"/>
      <c r="E60" s="48"/>
      <c r="F60" s="48"/>
      <c r="G60" s="48"/>
      <c r="H60" s="48"/>
    </row>
    <row r="61" spans="1:8" x14ac:dyDescent="0.3">
      <c r="A61" s="6" t="s">
        <v>89</v>
      </c>
      <c r="B61" s="6" t="s">
        <v>3</v>
      </c>
      <c r="C61" s="6" t="s">
        <v>96</v>
      </c>
      <c r="D61" s="7" t="s">
        <v>90</v>
      </c>
      <c r="E61" s="6" t="s">
        <v>89</v>
      </c>
      <c r="F61" s="6" t="s">
        <v>3</v>
      </c>
      <c r="G61" s="6" t="s">
        <v>96</v>
      </c>
      <c r="H61" s="6" t="s">
        <v>90</v>
      </c>
    </row>
    <row r="62" spans="1:8" x14ac:dyDescent="0.3">
      <c r="A62" s="8" t="s">
        <v>22</v>
      </c>
      <c r="B62" s="9" t="s">
        <v>135</v>
      </c>
      <c r="C62" s="9"/>
      <c r="D62" s="10">
        <v>2500</v>
      </c>
      <c r="E62" s="8" t="s">
        <v>63</v>
      </c>
      <c r="F62" s="9" t="s">
        <v>123</v>
      </c>
      <c r="G62" s="9"/>
      <c r="H62" s="10">
        <v>2500</v>
      </c>
    </row>
    <row r="63" spans="1:8" x14ac:dyDescent="0.3">
      <c r="A63" s="11"/>
      <c r="B63" s="12"/>
      <c r="C63" s="12"/>
      <c r="D63" s="16">
        <v>2500</v>
      </c>
      <c r="E63" s="14"/>
      <c r="F63" s="15"/>
      <c r="G63" s="15"/>
      <c r="H63" s="16">
        <v>2500</v>
      </c>
    </row>
    <row r="64" spans="1:8" x14ac:dyDescent="0.3">
      <c r="A64" s="8" t="s">
        <v>91</v>
      </c>
      <c r="B64" s="9" t="s">
        <v>124</v>
      </c>
      <c r="C64" s="9"/>
      <c r="D64" s="16">
        <v>2500</v>
      </c>
      <c r="E64" s="17"/>
      <c r="F64" s="18"/>
      <c r="G64" s="18"/>
      <c r="H64" s="19"/>
    </row>
    <row r="65" spans="1:8" x14ac:dyDescent="0.3">
      <c r="A65" s="48" t="s">
        <v>136</v>
      </c>
      <c r="B65" s="48"/>
      <c r="C65" s="48"/>
      <c r="D65" s="48"/>
      <c r="E65" s="48"/>
      <c r="F65" s="48"/>
      <c r="G65" s="48"/>
      <c r="H65" s="48"/>
    </row>
    <row r="66" spans="1:8" x14ac:dyDescent="0.3">
      <c r="A66" s="6" t="s">
        <v>89</v>
      </c>
      <c r="B66" s="6" t="s">
        <v>3</v>
      </c>
      <c r="C66" s="6" t="s">
        <v>96</v>
      </c>
      <c r="D66" s="7" t="s">
        <v>90</v>
      </c>
      <c r="E66" s="6" t="s">
        <v>89</v>
      </c>
      <c r="F66" s="6" t="s">
        <v>3</v>
      </c>
      <c r="G66" s="6" t="s">
        <v>96</v>
      </c>
      <c r="H66" s="6" t="s">
        <v>90</v>
      </c>
    </row>
    <row r="67" spans="1:8" x14ac:dyDescent="0.3">
      <c r="A67" s="8" t="s">
        <v>137</v>
      </c>
      <c r="B67" s="9" t="s">
        <v>126</v>
      </c>
      <c r="C67" s="9"/>
      <c r="D67" s="10">
        <v>15000</v>
      </c>
      <c r="E67" s="8" t="s">
        <v>63</v>
      </c>
      <c r="F67" s="9" t="s">
        <v>123</v>
      </c>
      <c r="G67" s="9"/>
      <c r="H67" s="10">
        <v>39000</v>
      </c>
    </row>
    <row r="68" spans="1:8" x14ac:dyDescent="0.3">
      <c r="A68" s="8" t="s">
        <v>33</v>
      </c>
      <c r="B68" s="9" t="s">
        <v>138</v>
      </c>
      <c r="C68" s="9"/>
      <c r="D68" s="10">
        <v>8000</v>
      </c>
      <c r="E68" s="8"/>
      <c r="F68" s="9"/>
      <c r="G68" s="9"/>
      <c r="H68" s="10"/>
    </row>
    <row r="69" spans="1:8" x14ac:dyDescent="0.3">
      <c r="A69" s="8" t="s">
        <v>139</v>
      </c>
      <c r="B69" s="9" t="s">
        <v>126</v>
      </c>
      <c r="C69" s="9"/>
      <c r="D69" s="10">
        <v>16000</v>
      </c>
      <c r="E69" s="8"/>
      <c r="F69" s="9"/>
      <c r="G69" s="9"/>
      <c r="H69" s="10"/>
    </row>
    <row r="70" spans="1:8" x14ac:dyDescent="0.3">
      <c r="A70" s="9"/>
      <c r="B70" s="9"/>
      <c r="C70" s="9"/>
      <c r="D70" s="16">
        <v>39000</v>
      </c>
      <c r="E70" s="18"/>
      <c r="F70" s="18"/>
      <c r="G70" s="18"/>
      <c r="H70" s="16">
        <v>39000</v>
      </c>
    </row>
    <row r="71" spans="1:8" x14ac:dyDescent="0.3">
      <c r="A71" s="8" t="s">
        <v>91</v>
      </c>
      <c r="B71" s="9" t="s">
        <v>124</v>
      </c>
      <c r="C71" s="9"/>
      <c r="D71" s="16">
        <v>39000</v>
      </c>
      <c r="E71" s="18"/>
      <c r="F71" s="18"/>
      <c r="G71" s="18"/>
      <c r="H71" s="16"/>
    </row>
    <row r="72" spans="1:8" x14ac:dyDescent="0.3">
      <c r="A72" s="48" t="s">
        <v>140</v>
      </c>
      <c r="B72" s="48"/>
      <c r="C72" s="48"/>
      <c r="D72" s="48"/>
      <c r="E72" s="48"/>
      <c r="F72" s="48"/>
      <c r="G72" s="48"/>
      <c r="H72" s="48"/>
    </row>
    <row r="73" spans="1:8" x14ac:dyDescent="0.3">
      <c r="A73" s="6" t="s">
        <v>89</v>
      </c>
      <c r="B73" s="6" t="s">
        <v>3</v>
      </c>
      <c r="C73" s="6" t="s">
        <v>96</v>
      </c>
      <c r="D73" s="7" t="s">
        <v>90</v>
      </c>
      <c r="E73" s="6" t="s">
        <v>89</v>
      </c>
      <c r="F73" s="6" t="s">
        <v>3</v>
      </c>
      <c r="G73" s="6" t="s">
        <v>96</v>
      </c>
      <c r="H73" s="6" t="s">
        <v>90</v>
      </c>
    </row>
    <row r="74" spans="1:8" x14ac:dyDescent="0.3">
      <c r="A74" s="8" t="s">
        <v>63</v>
      </c>
      <c r="B74" s="9" t="s">
        <v>132</v>
      </c>
      <c r="C74" s="9"/>
      <c r="D74" s="10">
        <v>50200</v>
      </c>
      <c r="E74" s="8" t="s">
        <v>141</v>
      </c>
      <c r="F74" s="9" t="s">
        <v>142</v>
      </c>
      <c r="G74" s="9"/>
      <c r="H74" s="10">
        <v>4800</v>
      </c>
    </row>
    <row r="75" spans="1:8" x14ac:dyDescent="0.3">
      <c r="A75" s="9"/>
      <c r="B75" s="9"/>
      <c r="C75" s="9"/>
      <c r="D75" s="9"/>
      <c r="E75" s="8" t="s">
        <v>30</v>
      </c>
      <c r="F75" s="9" t="s">
        <v>142</v>
      </c>
      <c r="G75" s="9"/>
      <c r="H75" s="10">
        <v>5500</v>
      </c>
    </row>
    <row r="76" spans="1:8" x14ac:dyDescent="0.3">
      <c r="A76" s="9"/>
      <c r="B76" s="9"/>
      <c r="C76" s="9"/>
      <c r="D76" s="9"/>
      <c r="E76" s="8" t="s">
        <v>35</v>
      </c>
      <c r="F76" s="9" t="s">
        <v>142</v>
      </c>
      <c r="G76" s="9"/>
      <c r="H76" s="10">
        <v>6300</v>
      </c>
    </row>
    <row r="77" spans="1:8" x14ac:dyDescent="0.3">
      <c r="A77" s="9"/>
      <c r="B77" s="9"/>
      <c r="C77" s="9"/>
      <c r="D77" s="9"/>
      <c r="E77" s="8" t="s">
        <v>41</v>
      </c>
      <c r="F77" s="9" t="s">
        <v>142</v>
      </c>
      <c r="G77" s="9"/>
      <c r="H77" s="10">
        <v>7110</v>
      </c>
    </row>
    <row r="78" spans="1:8" x14ac:dyDescent="0.3">
      <c r="A78" s="9"/>
      <c r="B78" s="9"/>
      <c r="C78" s="9"/>
      <c r="D78" s="9"/>
      <c r="E78" s="8" t="s">
        <v>143</v>
      </c>
      <c r="F78" s="9" t="s">
        <v>142</v>
      </c>
      <c r="G78" s="9"/>
      <c r="H78" s="10">
        <v>8200</v>
      </c>
    </row>
    <row r="79" spans="1:8" x14ac:dyDescent="0.3">
      <c r="A79" s="9"/>
      <c r="B79" s="9"/>
      <c r="C79" s="9"/>
      <c r="D79" s="9"/>
      <c r="E79" s="8" t="s">
        <v>53</v>
      </c>
      <c r="F79" s="9" t="s">
        <v>142</v>
      </c>
      <c r="G79" s="9"/>
      <c r="H79" s="10">
        <v>9500</v>
      </c>
    </row>
    <row r="80" spans="1:8" x14ac:dyDescent="0.3">
      <c r="A80" s="9"/>
      <c r="B80" s="9"/>
      <c r="C80" s="9"/>
      <c r="D80" s="10"/>
      <c r="E80" s="8" t="s">
        <v>57</v>
      </c>
      <c r="F80" s="9" t="s">
        <v>142</v>
      </c>
      <c r="G80" s="9"/>
      <c r="H80" s="10">
        <v>8800</v>
      </c>
    </row>
    <row r="81" spans="1:8" x14ac:dyDescent="0.3">
      <c r="A81" s="9"/>
      <c r="B81" s="9"/>
      <c r="C81" s="9"/>
      <c r="D81" s="16">
        <v>50200</v>
      </c>
      <c r="E81" s="18"/>
      <c r="F81" s="18"/>
      <c r="G81" s="18"/>
      <c r="H81" s="16">
        <v>50210</v>
      </c>
    </row>
    <row r="82" spans="1:8" x14ac:dyDescent="0.3">
      <c r="A82" s="9"/>
      <c r="B82" s="9"/>
      <c r="C82" s="9"/>
      <c r="D82" s="10"/>
      <c r="E82" s="8" t="s">
        <v>91</v>
      </c>
      <c r="F82" s="9" t="s">
        <v>133</v>
      </c>
      <c r="G82" s="9"/>
      <c r="H82" s="16">
        <v>50200</v>
      </c>
    </row>
    <row r="83" spans="1:8" x14ac:dyDescent="0.3">
      <c r="A83" s="48" t="s">
        <v>144</v>
      </c>
      <c r="B83" s="48"/>
      <c r="C83" s="48"/>
      <c r="D83" s="48"/>
      <c r="E83" s="48"/>
      <c r="F83" s="48"/>
      <c r="G83" s="48"/>
      <c r="H83" s="48"/>
    </row>
    <row r="84" spans="1:8" x14ac:dyDescent="0.3">
      <c r="A84" s="6" t="s">
        <v>89</v>
      </c>
      <c r="B84" s="6" t="s">
        <v>3</v>
      </c>
      <c r="C84" s="6" t="s">
        <v>96</v>
      </c>
      <c r="D84" s="7" t="s">
        <v>90</v>
      </c>
      <c r="E84" s="6" t="s">
        <v>89</v>
      </c>
      <c r="F84" s="6" t="s">
        <v>3</v>
      </c>
      <c r="G84" s="6" t="s">
        <v>96</v>
      </c>
      <c r="H84" s="6" t="s">
        <v>90</v>
      </c>
    </row>
    <row r="85" spans="1:8" x14ac:dyDescent="0.3">
      <c r="A85" s="8" t="s">
        <v>28</v>
      </c>
      <c r="B85" s="9" t="s">
        <v>40</v>
      </c>
      <c r="C85" s="9"/>
      <c r="D85" s="10">
        <v>3000</v>
      </c>
      <c r="E85" s="8" t="s">
        <v>63</v>
      </c>
      <c r="F85" s="9" t="s">
        <v>123</v>
      </c>
      <c r="G85" s="9"/>
      <c r="H85" s="10">
        <v>3000</v>
      </c>
    </row>
    <row r="86" spans="1:8" x14ac:dyDescent="0.3">
      <c r="A86" s="9"/>
      <c r="B86" s="9"/>
      <c r="C86" s="9"/>
      <c r="D86" s="16">
        <v>3000</v>
      </c>
      <c r="E86" s="17"/>
      <c r="F86" s="18"/>
      <c r="G86" s="18"/>
      <c r="H86" s="16">
        <v>3000</v>
      </c>
    </row>
    <row r="87" spans="1:8" x14ac:dyDescent="0.3">
      <c r="A87" s="8" t="s">
        <v>91</v>
      </c>
      <c r="B87" s="9" t="s">
        <v>124</v>
      </c>
      <c r="C87" s="9"/>
      <c r="D87" s="16">
        <v>3000</v>
      </c>
      <c r="E87" s="17"/>
      <c r="F87" s="18"/>
      <c r="G87" s="18"/>
      <c r="H87" s="16"/>
    </row>
    <row r="88" spans="1:8" x14ac:dyDescent="0.3">
      <c r="A88" s="48" t="s">
        <v>145</v>
      </c>
      <c r="B88" s="48"/>
      <c r="C88" s="48"/>
      <c r="D88" s="48"/>
      <c r="E88" s="48"/>
      <c r="F88" s="48"/>
      <c r="G88" s="48"/>
      <c r="H88" s="48"/>
    </row>
    <row r="89" spans="1:8" x14ac:dyDescent="0.3">
      <c r="A89" s="6" t="s">
        <v>89</v>
      </c>
      <c r="B89" s="6" t="s">
        <v>3</v>
      </c>
      <c r="C89" s="6" t="s">
        <v>96</v>
      </c>
      <c r="D89" s="7" t="s">
        <v>90</v>
      </c>
      <c r="E89" s="6" t="s">
        <v>89</v>
      </c>
      <c r="F89" s="6" t="s">
        <v>3</v>
      </c>
      <c r="G89" s="6" t="s">
        <v>96</v>
      </c>
      <c r="H89" s="6" t="s">
        <v>90</v>
      </c>
    </row>
    <row r="90" spans="1:8" x14ac:dyDescent="0.3">
      <c r="A90" s="8" t="s">
        <v>31</v>
      </c>
      <c r="B90" s="9" t="s">
        <v>126</v>
      </c>
      <c r="C90" s="9"/>
      <c r="D90" s="10">
        <v>2200</v>
      </c>
      <c r="E90" s="8" t="s">
        <v>63</v>
      </c>
      <c r="F90" s="9" t="s">
        <v>123</v>
      </c>
      <c r="G90" s="9"/>
      <c r="H90" s="10">
        <v>4700</v>
      </c>
    </row>
    <row r="91" spans="1:8" x14ac:dyDescent="0.3">
      <c r="A91" s="8" t="s">
        <v>56</v>
      </c>
      <c r="B91" s="9" t="s">
        <v>126</v>
      </c>
      <c r="C91" s="9"/>
      <c r="D91" s="10">
        <v>2500</v>
      </c>
      <c r="E91" s="8"/>
      <c r="F91" s="9"/>
      <c r="G91" s="9"/>
      <c r="H91" s="10"/>
    </row>
    <row r="92" spans="1:8" x14ac:dyDescent="0.3">
      <c r="A92" s="9"/>
      <c r="B92" s="9"/>
      <c r="C92" s="9"/>
      <c r="D92" s="16">
        <v>4700</v>
      </c>
      <c r="E92" s="17"/>
      <c r="F92" s="18"/>
      <c r="G92" s="18"/>
      <c r="H92" s="16">
        <v>4700</v>
      </c>
    </row>
    <row r="93" spans="1:8" x14ac:dyDescent="0.3">
      <c r="A93" s="8" t="s">
        <v>91</v>
      </c>
      <c r="B93" s="9" t="s">
        <v>124</v>
      </c>
      <c r="C93" s="9"/>
      <c r="D93" s="16">
        <v>4700</v>
      </c>
      <c r="E93" s="17"/>
      <c r="F93" s="18"/>
      <c r="G93" s="18"/>
      <c r="H93" s="16"/>
    </row>
    <row r="94" spans="1:8" x14ac:dyDescent="0.3">
      <c r="A94" s="48" t="s">
        <v>146</v>
      </c>
      <c r="B94" s="48"/>
      <c r="C94" s="48"/>
      <c r="D94" s="48"/>
      <c r="E94" s="48"/>
      <c r="F94" s="48"/>
      <c r="G94" s="48"/>
      <c r="H94" s="48"/>
    </row>
    <row r="95" spans="1:8" x14ac:dyDescent="0.3">
      <c r="A95" s="6" t="s">
        <v>89</v>
      </c>
      <c r="B95" s="6" t="s">
        <v>3</v>
      </c>
      <c r="C95" s="6" t="s">
        <v>96</v>
      </c>
      <c r="D95" s="7" t="s">
        <v>90</v>
      </c>
      <c r="E95" s="6" t="s">
        <v>89</v>
      </c>
      <c r="F95" s="6" t="s">
        <v>3</v>
      </c>
      <c r="G95" s="6" t="s">
        <v>96</v>
      </c>
      <c r="H95" s="6" t="s">
        <v>90</v>
      </c>
    </row>
    <row r="96" spans="1:8" x14ac:dyDescent="0.3">
      <c r="A96" s="8" t="s">
        <v>36</v>
      </c>
      <c r="B96" s="9" t="s">
        <v>126</v>
      </c>
      <c r="C96" s="9"/>
      <c r="D96" s="10">
        <v>8000</v>
      </c>
      <c r="E96" s="8" t="s">
        <v>33</v>
      </c>
      <c r="F96" s="9" t="s">
        <v>147</v>
      </c>
      <c r="G96" s="9"/>
      <c r="H96" s="10">
        <v>8000</v>
      </c>
    </row>
    <row r="97" spans="1:8" x14ac:dyDescent="0.3">
      <c r="A97" s="8"/>
      <c r="B97" s="9"/>
      <c r="C97" s="9"/>
      <c r="D97" s="16">
        <v>8000</v>
      </c>
      <c r="E97" s="17"/>
      <c r="F97" s="18"/>
      <c r="G97" s="18"/>
      <c r="H97" s="16">
        <v>8000</v>
      </c>
    </row>
    <row r="98" spans="1:8" x14ac:dyDescent="0.3">
      <c r="A98" s="48" t="s">
        <v>148</v>
      </c>
      <c r="B98" s="48"/>
      <c r="C98" s="48"/>
      <c r="D98" s="48"/>
      <c r="E98" s="48"/>
      <c r="F98" s="48"/>
      <c r="G98" s="48"/>
      <c r="H98" s="48"/>
    </row>
    <row r="99" spans="1:8" x14ac:dyDescent="0.3">
      <c r="A99" s="6" t="s">
        <v>89</v>
      </c>
      <c r="B99" s="6" t="s">
        <v>3</v>
      </c>
      <c r="C99" s="6" t="s">
        <v>96</v>
      </c>
      <c r="D99" s="7" t="s">
        <v>90</v>
      </c>
      <c r="E99" s="6" t="s">
        <v>89</v>
      </c>
      <c r="F99" s="6" t="s">
        <v>3</v>
      </c>
      <c r="G99" s="6" t="s">
        <v>96</v>
      </c>
      <c r="H99" s="6" t="s">
        <v>90</v>
      </c>
    </row>
    <row r="100" spans="1:8" x14ac:dyDescent="0.3">
      <c r="A100" s="8" t="s">
        <v>38</v>
      </c>
      <c r="B100" s="9" t="s">
        <v>126</v>
      </c>
      <c r="C100" s="9"/>
      <c r="D100" s="10">
        <v>800</v>
      </c>
      <c r="E100" s="8" t="s">
        <v>63</v>
      </c>
      <c r="F100" s="9" t="s">
        <v>123</v>
      </c>
      <c r="G100" s="9"/>
      <c r="H100" s="10">
        <v>800</v>
      </c>
    </row>
    <row r="101" spans="1:8" x14ac:dyDescent="0.3">
      <c r="A101" s="8"/>
      <c r="B101" s="9"/>
      <c r="C101" s="9"/>
      <c r="D101" s="16">
        <v>800</v>
      </c>
      <c r="E101" s="17"/>
      <c r="F101" s="18"/>
      <c r="G101" s="18"/>
      <c r="H101" s="16">
        <v>800</v>
      </c>
    </row>
    <row r="102" spans="1:8" x14ac:dyDescent="0.3">
      <c r="A102" s="8" t="s">
        <v>91</v>
      </c>
      <c r="B102" s="9" t="s">
        <v>124</v>
      </c>
      <c r="C102" s="9"/>
      <c r="D102" s="16">
        <v>800</v>
      </c>
      <c r="E102" s="18"/>
      <c r="F102" s="18"/>
      <c r="G102" s="18"/>
      <c r="H102" s="16"/>
    </row>
    <row r="103" spans="1:8" x14ac:dyDescent="0.3">
      <c r="A103" s="48" t="s">
        <v>149</v>
      </c>
      <c r="B103" s="48"/>
      <c r="C103" s="48"/>
      <c r="D103" s="48"/>
      <c r="E103" s="48"/>
      <c r="F103" s="48"/>
      <c r="G103" s="48"/>
      <c r="H103" s="48"/>
    </row>
    <row r="104" spans="1:8" x14ac:dyDescent="0.3">
      <c r="A104" s="6" t="s">
        <v>89</v>
      </c>
      <c r="B104" s="6" t="s">
        <v>3</v>
      </c>
      <c r="C104" s="6" t="s">
        <v>96</v>
      </c>
      <c r="D104" s="7" t="s">
        <v>90</v>
      </c>
      <c r="E104" s="6" t="s">
        <v>89</v>
      </c>
      <c r="F104" s="6" t="s">
        <v>3</v>
      </c>
      <c r="G104" s="6" t="s">
        <v>96</v>
      </c>
      <c r="H104" s="6" t="s">
        <v>90</v>
      </c>
    </row>
    <row r="105" spans="1:8" x14ac:dyDescent="0.3">
      <c r="A105" s="8" t="s">
        <v>42</v>
      </c>
      <c r="B105" s="9" t="s">
        <v>126</v>
      </c>
      <c r="C105" s="9"/>
      <c r="D105" s="10">
        <v>24000</v>
      </c>
      <c r="E105" s="8" t="s">
        <v>63</v>
      </c>
      <c r="F105" s="9" t="s">
        <v>123</v>
      </c>
      <c r="G105" s="9"/>
      <c r="H105" s="10">
        <v>48000</v>
      </c>
    </row>
    <row r="106" spans="1:8" x14ac:dyDescent="0.3">
      <c r="A106" s="8" t="s">
        <v>63</v>
      </c>
      <c r="B106" s="9" t="s">
        <v>126</v>
      </c>
      <c r="C106" s="9"/>
      <c r="D106" s="10">
        <v>24000</v>
      </c>
      <c r="E106" s="8"/>
      <c r="F106" s="9"/>
      <c r="G106" s="9"/>
      <c r="H106" s="10"/>
    </row>
    <row r="107" spans="1:8" x14ac:dyDescent="0.3">
      <c r="A107" s="8"/>
      <c r="B107" s="9"/>
      <c r="C107" s="9"/>
      <c r="D107" s="16">
        <v>48000</v>
      </c>
      <c r="E107" s="18"/>
      <c r="F107" s="18"/>
      <c r="G107" s="18"/>
      <c r="H107" s="16">
        <v>48000</v>
      </c>
    </row>
    <row r="108" spans="1:8" x14ac:dyDescent="0.3">
      <c r="A108" s="8" t="s">
        <v>91</v>
      </c>
      <c r="B108" s="9" t="s">
        <v>124</v>
      </c>
      <c r="C108" s="9"/>
      <c r="D108" s="16">
        <v>48000</v>
      </c>
      <c r="E108" s="18"/>
      <c r="F108" s="18"/>
      <c r="G108" s="18"/>
      <c r="H108" s="16"/>
    </row>
    <row r="109" spans="1:8" x14ac:dyDescent="0.3">
      <c r="A109" s="48" t="s">
        <v>150</v>
      </c>
      <c r="B109" s="48"/>
      <c r="C109" s="48"/>
      <c r="D109" s="48"/>
      <c r="E109" s="48"/>
      <c r="F109" s="48"/>
      <c r="G109" s="48"/>
      <c r="H109" s="48"/>
    </row>
    <row r="110" spans="1:8" x14ac:dyDescent="0.3">
      <c r="A110" s="6" t="s">
        <v>89</v>
      </c>
      <c r="B110" s="6" t="s">
        <v>3</v>
      </c>
      <c r="C110" s="6" t="s">
        <v>96</v>
      </c>
      <c r="D110" s="7" t="s">
        <v>90</v>
      </c>
      <c r="E110" s="6" t="s">
        <v>89</v>
      </c>
      <c r="F110" s="6" t="s">
        <v>3</v>
      </c>
      <c r="G110" s="6" t="s">
        <v>96</v>
      </c>
      <c r="H110" s="6" t="s">
        <v>90</v>
      </c>
    </row>
    <row r="111" spans="1:8" x14ac:dyDescent="0.3">
      <c r="A111" s="8" t="s">
        <v>151</v>
      </c>
      <c r="B111" s="9" t="s">
        <v>152</v>
      </c>
      <c r="C111" s="9"/>
      <c r="D111" s="10">
        <v>1499</v>
      </c>
      <c r="E111" s="8" t="s">
        <v>63</v>
      </c>
      <c r="F111" s="9" t="s">
        <v>123</v>
      </c>
      <c r="G111" s="9"/>
      <c r="H111" s="10">
        <v>1499</v>
      </c>
    </row>
    <row r="112" spans="1:8" x14ac:dyDescent="0.3">
      <c r="A112" s="8"/>
      <c r="B112" s="9"/>
      <c r="C112" s="9"/>
      <c r="D112" s="16">
        <v>1499</v>
      </c>
      <c r="E112" s="17"/>
      <c r="F112" s="18"/>
      <c r="G112" s="18"/>
      <c r="H112" s="16">
        <v>1499</v>
      </c>
    </row>
    <row r="113" spans="1:8" x14ac:dyDescent="0.3">
      <c r="A113" s="8" t="s">
        <v>91</v>
      </c>
      <c r="B113" s="9" t="s">
        <v>124</v>
      </c>
      <c r="C113" s="9"/>
      <c r="D113" s="16">
        <v>1499</v>
      </c>
      <c r="E113" s="18"/>
      <c r="F113" s="18"/>
      <c r="G113" s="18"/>
      <c r="H113" s="16"/>
    </row>
    <row r="114" spans="1:8" x14ac:dyDescent="0.3">
      <c r="A114" s="48" t="s">
        <v>153</v>
      </c>
      <c r="B114" s="48"/>
      <c r="C114" s="48"/>
      <c r="D114" s="48"/>
      <c r="E114" s="48"/>
      <c r="F114" s="48"/>
      <c r="G114" s="48"/>
      <c r="H114" s="48"/>
    </row>
    <row r="115" spans="1:8" x14ac:dyDescent="0.3">
      <c r="A115" s="6" t="s">
        <v>89</v>
      </c>
      <c r="B115" s="6" t="s">
        <v>3</v>
      </c>
      <c r="C115" s="6" t="s">
        <v>96</v>
      </c>
      <c r="D115" s="7" t="s">
        <v>90</v>
      </c>
      <c r="E115" s="6" t="s">
        <v>89</v>
      </c>
      <c r="F115" s="6" t="s">
        <v>3</v>
      </c>
      <c r="G115" s="6" t="s">
        <v>96</v>
      </c>
      <c r="H115" s="6" t="s">
        <v>90</v>
      </c>
    </row>
    <row r="116" spans="1:8" x14ac:dyDescent="0.3">
      <c r="A116" s="8" t="s">
        <v>51</v>
      </c>
      <c r="B116" s="9" t="s">
        <v>126</v>
      </c>
      <c r="C116" s="9"/>
      <c r="D116" s="10">
        <v>4000</v>
      </c>
      <c r="E116" s="8" t="s">
        <v>63</v>
      </c>
      <c r="F116" s="9" t="s">
        <v>123</v>
      </c>
      <c r="G116" s="9"/>
      <c r="H116" s="10">
        <v>4000</v>
      </c>
    </row>
    <row r="117" spans="1:8" x14ac:dyDescent="0.3">
      <c r="A117" s="8"/>
      <c r="B117" s="9"/>
      <c r="C117" s="9"/>
      <c r="D117" s="16">
        <v>4000</v>
      </c>
      <c r="E117" s="17"/>
      <c r="F117" s="18"/>
      <c r="G117" s="18"/>
      <c r="H117" s="16">
        <v>4000</v>
      </c>
    </row>
    <row r="118" spans="1:8" x14ac:dyDescent="0.3">
      <c r="A118" s="8" t="s">
        <v>91</v>
      </c>
      <c r="B118" s="9" t="s">
        <v>124</v>
      </c>
      <c r="C118" s="9"/>
      <c r="D118" s="16">
        <v>4000</v>
      </c>
      <c r="E118" s="18"/>
      <c r="F118" s="18"/>
      <c r="G118" s="18"/>
      <c r="H118" s="16"/>
    </row>
    <row r="119" spans="1:8" x14ac:dyDescent="0.3">
      <c r="A119" s="48" t="s">
        <v>154</v>
      </c>
      <c r="B119" s="48"/>
      <c r="C119" s="48"/>
      <c r="D119" s="48"/>
      <c r="E119" s="48"/>
      <c r="F119" s="48"/>
      <c r="G119" s="48"/>
      <c r="H119" s="48"/>
    </row>
    <row r="120" spans="1:8" x14ac:dyDescent="0.3">
      <c r="A120" s="6" t="s">
        <v>89</v>
      </c>
      <c r="B120" s="6" t="s">
        <v>3</v>
      </c>
      <c r="C120" s="6" t="s">
        <v>96</v>
      </c>
      <c r="D120" s="7" t="s">
        <v>90</v>
      </c>
      <c r="E120" s="6" t="s">
        <v>89</v>
      </c>
      <c r="F120" s="6" t="s">
        <v>3</v>
      </c>
      <c r="G120" s="6" t="s">
        <v>96</v>
      </c>
      <c r="H120" s="6" t="s">
        <v>90</v>
      </c>
    </row>
    <row r="121" spans="1:8" x14ac:dyDescent="0.3">
      <c r="A121" s="8" t="s">
        <v>59</v>
      </c>
      <c r="B121" s="9" t="s">
        <v>126</v>
      </c>
      <c r="C121" s="9"/>
      <c r="D121" s="10">
        <v>2500</v>
      </c>
      <c r="E121" s="8" t="s">
        <v>63</v>
      </c>
      <c r="F121" s="9" t="s">
        <v>123</v>
      </c>
      <c r="G121" s="9"/>
      <c r="H121" s="10">
        <v>2500</v>
      </c>
    </row>
    <row r="122" spans="1:8" x14ac:dyDescent="0.3">
      <c r="A122" s="8"/>
      <c r="B122" s="9"/>
      <c r="C122" s="9"/>
      <c r="D122" s="16">
        <v>2500</v>
      </c>
      <c r="E122" s="17"/>
      <c r="F122" s="18"/>
      <c r="G122" s="18"/>
      <c r="H122" s="16">
        <v>2500</v>
      </c>
    </row>
    <row r="123" spans="1:8" x14ac:dyDescent="0.3">
      <c r="A123" s="8" t="s">
        <v>91</v>
      </c>
      <c r="B123" s="9" t="s">
        <v>124</v>
      </c>
      <c r="C123" s="9"/>
      <c r="D123" s="16">
        <v>2500</v>
      </c>
      <c r="E123" s="18"/>
      <c r="F123" s="18"/>
      <c r="G123" s="18"/>
      <c r="H123" s="16"/>
    </row>
    <row r="124" spans="1:8" x14ac:dyDescent="0.3">
      <c r="A124" s="48" t="s">
        <v>155</v>
      </c>
      <c r="B124" s="48"/>
      <c r="C124" s="48"/>
      <c r="D124" s="48"/>
      <c r="E124" s="48"/>
      <c r="F124" s="48"/>
      <c r="G124" s="48"/>
      <c r="H124" s="48"/>
    </row>
    <row r="125" spans="1:8" x14ac:dyDescent="0.3">
      <c r="A125" s="6" t="s">
        <v>89</v>
      </c>
      <c r="B125" s="6" t="s">
        <v>3</v>
      </c>
      <c r="C125" s="6" t="s">
        <v>96</v>
      </c>
      <c r="D125" s="7" t="s">
        <v>90</v>
      </c>
      <c r="E125" s="6" t="s">
        <v>89</v>
      </c>
      <c r="F125" s="6" t="s">
        <v>3</v>
      </c>
      <c r="G125" s="6" t="s">
        <v>96</v>
      </c>
      <c r="H125" s="6" t="s">
        <v>90</v>
      </c>
    </row>
    <row r="126" spans="1:8" x14ac:dyDescent="0.3">
      <c r="A126" s="8" t="s">
        <v>54</v>
      </c>
      <c r="B126" s="9" t="s">
        <v>126</v>
      </c>
      <c r="C126" s="9"/>
      <c r="D126" s="10">
        <v>9800</v>
      </c>
      <c r="E126" s="8" t="s">
        <v>63</v>
      </c>
      <c r="F126" s="9" t="s">
        <v>123</v>
      </c>
      <c r="G126" s="9"/>
      <c r="H126" s="10">
        <v>9800</v>
      </c>
    </row>
    <row r="127" spans="1:8" x14ac:dyDescent="0.3">
      <c r="A127" s="8"/>
      <c r="B127" s="9"/>
      <c r="C127" s="9"/>
      <c r="D127" s="16">
        <v>9800</v>
      </c>
      <c r="E127" s="17"/>
      <c r="F127" s="18"/>
      <c r="G127" s="18"/>
      <c r="H127" s="16">
        <v>9800</v>
      </c>
    </row>
    <row r="128" spans="1:8" x14ac:dyDescent="0.3">
      <c r="A128" s="8" t="s">
        <v>91</v>
      </c>
      <c r="B128" s="9" t="s">
        <v>124</v>
      </c>
      <c r="C128" s="9"/>
      <c r="D128" s="16">
        <v>9800</v>
      </c>
      <c r="E128" s="18"/>
      <c r="F128" s="18"/>
      <c r="G128" s="18"/>
      <c r="H128" s="16"/>
    </row>
    <row r="129" spans="1:8" x14ac:dyDescent="0.3">
      <c r="A129" s="48" t="s">
        <v>156</v>
      </c>
      <c r="B129" s="48"/>
      <c r="C129" s="48"/>
      <c r="D129" s="48"/>
      <c r="E129" s="48"/>
      <c r="F129" s="48"/>
      <c r="G129" s="48"/>
      <c r="H129" s="48"/>
    </row>
    <row r="130" spans="1:8" x14ac:dyDescent="0.3">
      <c r="A130" s="6" t="s">
        <v>89</v>
      </c>
      <c r="B130" s="6" t="s">
        <v>3</v>
      </c>
      <c r="C130" s="6" t="s">
        <v>96</v>
      </c>
      <c r="D130" s="7" t="s">
        <v>90</v>
      </c>
      <c r="E130" s="6" t="s">
        <v>89</v>
      </c>
      <c r="F130" s="6" t="s">
        <v>3</v>
      </c>
      <c r="G130" s="6" t="s">
        <v>96</v>
      </c>
      <c r="H130" s="6" t="s">
        <v>90</v>
      </c>
    </row>
    <row r="131" spans="1:8" x14ac:dyDescent="0.3">
      <c r="A131" s="8" t="s">
        <v>61</v>
      </c>
      <c r="B131" s="9" t="s">
        <v>126</v>
      </c>
      <c r="C131" s="9"/>
      <c r="D131" s="10">
        <v>3000</v>
      </c>
      <c r="E131" s="8" t="s">
        <v>63</v>
      </c>
      <c r="F131" s="9" t="s">
        <v>123</v>
      </c>
      <c r="G131" s="9"/>
      <c r="H131" s="10">
        <v>3000</v>
      </c>
    </row>
    <row r="132" spans="1:8" x14ac:dyDescent="0.3">
      <c r="A132" s="8"/>
      <c r="B132" s="9"/>
      <c r="C132" s="9"/>
      <c r="D132" s="16">
        <v>3000</v>
      </c>
      <c r="E132" s="17"/>
      <c r="F132" s="18"/>
      <c r="G132" s="18"/>
      <c r="H132" s="16">
        <v>3000</v>
      </c>
    </row>
    <row r="133" spans="1:8" x14ac:dyDescent="0.3">
      <c r="A133" s="8" t="s">
        <v>91</v>
      </c>
      <c r="B133" s="9" t="s">
        <v>124</v>
      </c>
      <c r="C133" s="9"/>
      <c r="D133" s="16">
        <v>3000</v>
      </c>
      <c r="E133" s="18"/>
      <c r="F133" s="18"/>
      <c r="G133" s="18"/>
      <c r="H133" s="16"/>
    </row>
  </sheetData>
  <mergeCells count="21">
    <mergeCell ref="A129:H129"/>
    <mergeCell ref="A103:H103"/>
    <mergeCell ref="A109:H109"/>
    <mergeCell ref="A114:H114"/>
    <mergeCell ref="A119:H119"/>
    <mergeCell ref="A124:H124"/>
    <mergeCell ref="A72:H72"/>
    <mergeCell ref="A83:H83"/>
    <mergeCell ref="A88:H88"/>
    <mergeCell ref="A94:H94"/>
    <mergeCell ref="A98:H98"/>
    <mergeCell ref="A44:H44"/>
    <mergeCell ref="A49:H49"/>
    <mergeCell ref="A54:H54"/>
    <mergeCell ref="A60:H60"/>
    <mergeCell ref="A65:H65"/>
    <mergeCell ref="A1:H1"/>
    <mergeCell ref="A2:H2"/>
    <mergeCell ref="A7:H7"/>
    <mergeCell ref="A30:H30"/>
    <mergeCell ref="A38:H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5212-4D50-4F04-B48A-0E6904C2B70B}">
  <dimension ref="A1:D23"/>
  <sheetViews>
    <sheetView zoomScaleNormal="100" workbookViewId="0">
      <selection activeCell="J14" sqref="J14"/>
    </sheetView>
  </sheetViews>
  <sheetFormatPr defaultRowHeight="14.4" x14ac:dyDescent="0.3"/>
  <cols>
    <col min="2" max="2" width="26.44140625" customWidth="1"/>
  </cols>
  <sheetData>
    <row r="1" spans="1:4" x14ac:dyDescent="0.3">
      <c r="A1" s="49" t="s">
        <v>157</v>
      </c>
      <c r="B1" s="49"/>
      <c r="C1" s="49"/>
      <c r="D1" s="49"/>
    </row>
    <row r="2" spans="1:4" x14ac:dyDescent="0.3">
      <c r="A2" s="6" t="s">
        <v>158</v>
      </c>
      <c r="B2" s="6" t="s">
        <v>3</v>
      </c>
      <c r="C2" s="6" t="s">
        <v>5</v>
      </c>
      <c r="D2" s="6" t="s">
        <v>6</v>
      </c>
    </row>
    <row r="3" spans="1:4" x14ac:dyDescent="0.3">
      <c r="A3" s="9">
        <v>1</v>
      </c>
      <c r="B3" s="9" t="s">
        <v>159</v>
      </c>
      <c r="C3" s="20">
        <v>186401</v>
      </c>
      <c r="D3" s="20"/>
    </row>
    <row r="4" spans="1:4" x14ac:dyDescent="0.3">
      <c r="A4" s="9">
        <v>2</v>
      </c>
      <c r="B4" s="9" t="s">
        <v>160</v>
      </c>
      <c r="C4" s="20">
        <v>380000</v>
      </c>
      <c r="D4" s="20"/>
    </row>
    <row r="5" spans="1:4" x14ac:dyDescent="0.3">
      <c r="A5" s="9">
        <v>3</v>
      </c>
      <c r="B5" s="9" t="s">
        <v>161</v>
      </c>
      <c r="C5" s="20">
        <v>60000</v>
      </c>
      <c r="D5" s="20"/>
    </row>
    <row r="6" spans="1:4" x14ac:dyDescent="0.3">
      <c r="A6" s="9">
        <v>4</v>
      </c>
      <c r="B6" s="9" t="s">
        <v>162</v>
      </c>
      <c r="C6" s="20">
        <v>75000</v>
      </c>
      <c r="D6" s="20"/>
    </row>
    <row r="7" spans="1:4" x14ac:dyDescent="0.3">
      <c r="A7" s="9">
        <v>5</v>
      </c>
      <c r="B7" s="9" t="s">
        <v>163</v>
      </c>
      <c r="C7" s="20">
        <v>55000</v>
      </c>
      <c r="D7" s="20"/>
    </row>
    <row r="8" spans="1:4" x14ac:dyDescent="0.3">
      <c r="A8" s="9">
        <v>6</v>
      </c>
      <c r="B8" s="9" t="s">
        <v>164</v>
      </c>
      <c r="C8" s="20">
        <v>2500</v>
      </c>
      <c r="D8" s="20"/>
    </row>
    <row r="9" spans="1:4" x14ac:dyDescent="0.3">
      <c r="A9" s="9">
        <v>7</v>
      </c>
      <c r="B9" s="9" t="s">
        <v>165</v>
      </c>
      <c r="C9" s="20">
        <v>39000</v>
      </c>
      <c r="D9" s="20"/>
    </row>
    <row r="10" spans="1:4" x14ac:dyDescent="0.3">
      <c r="A10" s="9">
        <v>8</v>
      </c>
      <c r="B10" s="9" t="s">
        <v>166</v>
      </c>
      <c r="C10" s="20">
        <v>3000</v>
      </c>
      <c r="D10" s="20"/>
    </row>
    <row r="11" spans="1:4" x14ac:dyDescent="0.3">
      <c r="A11" s="9">
        <v>9</v>
      </c>
      <c r="B11" s="9" t="s">
        <v>167</v>
      </c>
      <c r="C11" s="20">
        <v>4700</v>
      </c>
      <c r="D11" s="20"/>
    </row>
    <row r="12" spans="1:4" x14ac:dyDescent="0.3">
      <c r="A12" s="9">
        <v>10</v>
      </c>
      <c r="B12" s="9" t="s">
        <v>168</v>
      </c>
      <c r="C12" s="20" t="s">
        <v>169</v>
      </c>
      <c r="D12" s="20" t="s">
        <v>169</v>
      </c>
    </row>
    <row r="13" spans="1:4" x14ac:dyDescent="0.3">
      <c r="A13" s="9">
        <v>11</v>
      </c>
      <c r="B13" s="9" t="s">
        <v>170</v>
      </c>
      <c r="C13" s="20">
        <v>800</v>
      </c>
      <c r="D13" s="20"/>
    </row>
    <row r="14" spans="1:4" x14ac:dyDescent="0.3">
      <c r="A14" s="9">
        <v>12</v>
      </c>
      <c r="B14" s="9" t="s">
        <v>171</v>
      </c>
      <c r="C14" s="20">
        <v>48000</v>
      </c>
      <c r="D14" s="20"/>
    </row>
    <row r="15" spans="1:4" x14ac:dyDescent="0.3">
      <c r="A15" s="9">
        <v>13</v>
      </c>
      <c r="B15" s="9" t="s">
        <v>172</v>
      </c>
      <c r="C15" s="20">
        <v>1499</v>
      </c>
      <c r="D15" s="20"/>
    </row>
    <row r="16" spans="1:4" x14ac:dyDescent="0.3">
      <c r="A16" s="9">
        <v>14</v>
      </c>
      <c r="B16" s="9" t="s">
        <v>173</v>
      </c>
      <c r="C16" s="20">
        <v>4000</v>
      </c>
      <c r="D16" s="20"/>
    </row>
    <row r="17" spans="1:4" x14ac:dyDescent="0.3">
      <c r="A17" s="9">
        <v>15</v>
      </c>
      <c r="B17" s="9" t="s">
        <v>174</v>
      </c>
      <c r="C17" s="20">
        <v>2500</v>
      </c>
      <c r="D17" s="20"/>
    </row>
    <row r="18" spans="1:4" x14ac:dyDescent="0.3">
      <c r="A18" s="9">
        <v>16</v>
      </c>
      <c r="B18" s="9" t="s">
        <v>175</v>
      </c>
      <c r="C18" s="20">
        <v>9800</v>
      </c>
      <c r="D18" s="20"/>
    </row>
    <row r="19" spans="1:4" x14ac:dyDescent="0.3">
      <c r="A19" s="9">
        <v>17</v>
      </c>
      <c r="B19" s="9" t="s">
        <v>176</v>
      </c>
      <c r="C19" s="20">
        <v>3000</v>
      </c>
      <c r="D19" s="20"/>
    </row>
    <row r="20" spans="1:4" x14ac:dyDescent="0.3">
      <c r="A20" s="9">
        <v>18</v>
      </c>
      <c r="B20" s="9" t="s">
        <v>177</v>
      </c>
      <c r="C20" s="20"/>
      <c r="D20" s="20">
        <v>800000</v>
      </c>
    </row>
    <row r="21" spans="1:4" x14ac:dyDescent="0.3">
      <c r="A21" s="9">
        <v>19</v>
      </c>
      <c r="B21" s="9" t="s">
        <v>178</v>
      </c>
      <c r="C21" s="20"/>
      <c r="D21" s="20">
        <v>25000</v>
      </c>
    </row>
    <row r="22" spans="1:4" x14ac:dyDescent="0.3">
      <c r="A22" s="9">
        <v>20</v>
      </c>
      <c r="B22" s="9" t="s">
        <v>179</v>
      </c>
      <c r="C22" s="20"/>
      <c r="D22" s="20">
        <v>50200</v>
      </c>
    </row>
    <row r="23" spans="1:4" x14ac:dyDescent="0.3">
      <c r="A23" s="9"/>
      <c r="B23" s="6" t="s">
        <v>180</v>
      </c>
      <c r="C23" s="21">
        <v>875200</v>
      </c>
      <c r="D23" s="21">
        <v>875200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77BD-6E91-48BF-952B-3BEA4282445C}">
  <dimension ref="A1:F7"/>
  <sheetViews>
    <sheetView workbookViewId="0">
      <selection activeCell="I11" sqref="I11"/>
    </sheetView>
  </sheetViews>
  <sheetFormatPr defaultRowHeight="14.4" x14ac:dyDescent="0.3"/>
  <cols>
    <col min="1" max="1" width="18.21875" customWidth="1"/>
    <col min="3" max="3" width="8.77734375" bestFit="1" customWidth="1"/>
    <col min="4" max="4" width="17.77734375" customWidth="1"/>
  </cols>
  <sheetData>
    <row r="1" spans="1:6" x14ac:dyDescent="0.3">
      <c r="A1" s="46" t="s">
        <v>181</v>
      </c>
      <c r="B1" s="46"/>
      <c r="C1" s="46"/>
      <c r="D1" s="46"/>
      <c r="E1" s="46"/>
      <c r="F1" s="46"/>
    </row>
    <row r="2" spans="1:6" x14ac:dyDescent="0.3">
      <c r="A2" s="4" t="s">
        <v>182</v>
      </c>
      <c r="B2" s="4" t="s">
        <v>97</v>
      </c>
      <c r="C2" s="4" t="s">
        <v>97</v>
      </c>
      <c r="D2" s="4" t="s">
        <v>182</v>
      </c>
      <c r="E2" s="4" t="s">
        <v>97</v>
      </c>
      <c r="F2" s="4" t="s">
        <v>97</v>
      </c>
    </row>
    <row r="3" spans="1:6" x14ac:dyDescent="0.3">
      <c r="A3" s="1" t="s">
        <v>183</v>
      </c>
      <c r="B3" s="1"/>
      <c r="C3" s="1" t="s">
        <v>169</v>
      </c>
      <c r="D3" s="1" t="s">
        <v>184</v>
      </c>
      <c r="E3" s="1"/>
      <c r="F3" s="2">
        <v>50200</v>
      </c>
    </row>
    <row r="4" spans="1:6" x14ac:dyDescent="0.3">
      <c r="A4" s="1" t="s">
        <v>185</v>
      </c>
      <c r="B4" s="1"/>
      <c r="C4" s="2">
        <v>39000</v>
      </c>
      <c r="D4" s="1"/>
      <c r="E4" s="1"/>
      <c r="F4" s="1"/>
    </row>
    <row r="5" spans="1:6" x14ac:dyDescent="0.3">
      <c r="A5" s="1" t="s">
        <v>186</v>
      </c>
      <c r="B5" s="1"/>
      <c r="C5" s="1" t="s">
        <v>169</v>
      </c>
      <c r="D5" s="1"/>
      <c r="E5" s="1"/>
      <c r="F5" s="1"/>
    </row>
    <row r="6" spans="1:6" x14ac:dyDescent="0.3">
      <c r="A6" s="1" t="s">
        <v>187</v>
      </c>
      <c r="B6" s="1"/>
      <c r="C6" s="5">
        <f>F7-C4</f>
        <v>11200</v>
      </c>
      <c r="D6" s="1"/>
      <c r="E6" s="1"/>
      <c r="F6" s="1"/>
    </row>
    <row r="7" spans="1:6" x14ac:dyDescent="0.3">
      <c r="A7" s="1"/>
      <c r="B7" s="1"/>
      <c r="C7" s="5">
        <f>SUM(F7)</f>
        <v>50200</v>
      </c>
      <c r="D7" s="1"/>
      <c r="E7" s="1"/>
      <c r="F7" s="5">
        <f>SUM(F3:F6)</f>
        <v>50200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D616-5D50-42A2-8587-75B3F1236CA3}">
  <dimension ref="A1:F13"/>
  <sheetViews>
    <sheetView workbookViewId="0">
      <selection activeCell="I13" sqref="I13"/>
    </sheetView>
  </sheetViews>
  <sheetFormatPr defaultRowHeight="14.4" x14ac:dyDescent="0.3"/>
  <cols>
    <col min="1" max="1" width="27" customWidth="1"/>
    <col min="4" max="4" width="26.6640625" customWidth="1"/>
  </cols>
  <sheetData>
    <row r="1" spans="1:6" x14ac:dyDescent="0.3">
      <c r="A1" s="46" t="s">
        <v>188</v>
      </c>
      <c r="B1" s="46"/>
      <c r="C1" s="46"/>
      <c r="D1" s="46"/>
      <c r="E1" s="46"/>
      <c r="F1" s="46"/>
    </row>
    <row r="2" spans="1:6" x14ac:dyDescent="0.3">
      <c r="A2" s="4" t="s">
        <v>182</v>
      </c>
      <c r="B2" s="4" t="s">
        <v>97</v>
      </c>
      <c r="C2" s="4" t="s">
        <v>97</v>
      </c>
      <c r="D2" s="4" t="s">
        <v>182</v>
      </c>
      <c r="E2" s="4" t="s">
        <v>97</v>
      </c>
      <c r="F2" s="4" t="s">
        <v>97</v>
      </c>
    </row>
    <row r="3" spans="1:6" x14ac:dyDescent="0.3">
      <c r="A3" s="1" t="s">
        <v>189</v>
      </c>
      <c r="B3" s="1"/>
      <c r="C3" s="2">
        <v>60000</v>
      </c>
      <c r="D3" s="1" t="s">
        <v>190</v>
      </c>
      <c r="E3" s="1"/>
      <c r="F3" s="2">
        <v>11200</v>
      </c>
    </row>
    <row r="4" spans="1:6" x14ac:dyDescent="0.3">
      <c r="A4" s="1" t="s">
        <v>191</v>
      </c>
      <c r="B4" s="1"/>
      <c r="C4" s="2">
        <v>48000</v>
      </c>
      <c r="D4" s="1" t="s">
        <v>275</v>
      </c>
      <c r="E4" s="1"/>
      <c r="F4" s="5">
        <f>F13-F3</f>
        <v>114799</v>
      </c>
    </row>
    <row r="5" spans="1:6" x14ac:dyDescent="0.3">
      <c r="A5" s="1" t="s">
        <v>192</v>
      </c>
      <c r="B5" s="1"/>
      <c r="C5" s="2">
        <v>4700</v>
      </c>
      <c r="D5" s="1"/>
      <c r="E5" s="1"/>
      <c r="F5" s="1"/>
    </row>
    <row r="6" spans="1:6" x14ac:dyDescent="0.3">
      <c r="A6" s="1" t="s">
        <v>193</v>
      </c>
      <c r="B6" s="1"/>
      <c r="C6" s="2">
        <v>800</v>
      </c>
      <c r="D6" s="1"/>
      <c r="E6" s="1"/>
      <c r="F6" s="1"/>
    </row>
    <row r="7" spans="1:6" x14ac:dyDescent="0.3">
      <c r="A7" s="1" t="s">
        <v>194</v>
      </c>
      <c r="B7" s="1"/>
      <c r="C7" s="2">
        <v>1499</v>
      </c>
      <c r="D7" s="1"/>
      <c r="E7" s="1"/>
      <c r="F7" s="1"/>
    </row>
    <row r="8" spans="1:6" x14ac:dyDescent="0.3">
      <c r="A8" s="1" t="s">
        <v>195</v>
      </c>
      <c r="B8" s="1"/>
      <c r="C8" s="2">
        <v>3000</v>
      </c>
      <c r="D8" s="1"/>
      <c r="E8" s="1"/>
      <c r="F8" s="1"/>
    </row>
    <row r="9" spans="1:6" x14ac:dyDescent="0.3">
      <c r="A9" s="1" t="s">
        <v>196</v>
      </c>
      <c r="B9" s="1"/>
      <c r="C9" s="2">
        <v>2500</v>
      </c>
      <c r="D9" s="1"/>
      <c r="E9" s="1"/>
      <c r="F9" s="1"/>
    </row>
    <row r="10" spans="1:6" x14ac:dyDescent="0.3">
      <c r="A10" s="1" t="s">
        <v>197</v>
      </c>
      <c r="B10" s="1"/>
      <c r="C10" s="2">
        <v>2500</v>
      </c>
      <c r="D10" s="1"/>
      <c r="E10" s="1"/>
      <c r="F10" s="1"/>
    </row>
    <row r="11" spans="1:6" x14ac:dyDescent="0.3">
      <c r="A11" s="1" t="s">
        <v>198</v>
      </c>
      <c r="B11" s="1"/>
      <c r="C11" s="2">
        <v>3000</v>
      </c>
      <c r="D11" s="1"/>
      <c r="E11" s="1"/>
      <c r="F11" s="1"/>
    </row>
    <row r="12" spans="1:6" x14ac:dyDescent="0.3">
      <c r="A12" s="1"/>
      <c r="B12" s="1"/>
      <c r="D12" s="1"/>
      <c r="E12" s="1"/>
      <c r="F12" s="1"/>
    </row>
    <row r="13" spans="1:6" x14ac:dyDescent="0.3">
      <c r="A13" s="1"/>
      <c r="B13" s="1"/>
      <c r="C13" s="5">
        <f>SUM(C3:C12)</f>
        <v>125999</v>
      </c>
      <c r="D13" s="1"/>
      <c r="E13" s="1"/>
      <c r="F13" s="5">
        <v>125999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921A-DBE3-4604-A1E1-226D86179F59}">
  <dimension ref="A1:F9"/>
  <sheetViews>
    <sheetView tabSelected="1" workbookViewId="0">
      <selection activeCell="I10" sqref="I10"/>
    </sheetView>
  </sheetViews>
  <sheetFormatPr defaultRowHeight="14.4" x14ac:dyDescent="0.3"/>
  <cols>
    <col min="1" max="1" width="26.77734375" customWidth="1"/>
    <col min="4" max="4" width="26.77734375" customWidth="1"/>
  </cols>
  <sheetData>
    <row r="1" spans="1:6" x14ac:dyDescent="0.3">
      <c r="A1" s="46" t="s">
        <v>212</v>
      </c>
      <c r="B1" s="46"/>
      <c r="C1" s="46"/>
      <c r="D1" s="46"/>
      <c r="E1" s="46"/>
      <c r="F1" s="46"/>
    </row>
    <row r="2" spans="1:6" x14ac:dyDescent="0.3">
      <c r="A2" s="4" t="s">
        <v>199</v>
      </c>
      <c r="B2" s="4" t="s">
        <v>97</v>
      </c>
      <c r="C2" s="4" t="s">
        <v>97</v>
      </c>
      <c r="D2" s="4" t="s">
        <v>200</v>
      </c>
      <c r="E2" s="4" t="s">
        <v>97</v>
      </c>
      <c r="F2" s="4" t="s">
        <v>97</v>
      </c>
    </row>
    <row r="3" spans="1:6" x14ac:dyDescent="0.3">
      <c r="A3" s="1" t="s">
        <v>201</v>
      </c>
      <c r="B3" s="2">
        <v>800000</v>
      </c>
      <c r="C3" s="1"/>
      <c r="D3" s="1" t="s">
        <v>202</v>
      </c>
      <c r="E3" s="1"/>
      <c r="F3" s="2">
        <v>186401</v>
      </c>
    </row>
    <row r="4" spans="1:6" x14ac:dyDescent="0.3">
      <c r="A4" s="1" t="s">
        <v>203</v>
      </c>
      <c r="B4" s="2">
        <v>114799</v>
      </c>
      <c r="C4" s="1"/>
      <c r="D4" s="1" t="s">
        <v>204</v>
      </c>
      <c r="E4" s="1"/>
      <c r="F4" s="2">
        <v>380000</v>
      </c>
    </row>
    <row r="5" spans="1:6" x14ac:dyDescent="0.3">
      <c r="A5" s="1"/>
      <c r="B5" s="2"/>
      <c r="C5" s="2">
        <f>B3-B4</f>
        <v>685201</v>
      </c>
      <c r="D5" s="1" t="s">
        <v>205</v>
      </c>
      <c r="E5" s="1"/>
      <c r="F5" s="2">
        <v>75000</v>
      </c>
    </row>
    <row r="6" spans="1:6" x14ac:dyDescent="0.3">
      <c r="A6" s="1" t="s">
        <v>206</v>
      </c>
      <c r="B6" s="1" t="s">
        <v>169</v>
      </c>
      <c r="C6" s="2"/>
      <c r="D6" s="1" t="s">
        <v>207</v>
      </c>
      <c r="E6" s="1"/>
      <c r="F6" s="2">
        <v>55000</v>
      </c>
    </row>
    <row r="7" spans="1:6" x14ac:dyDescent="0.3">
      <c r="A7" s="1" t="s">
        <v>208</v>
      </c>
      <c r="B7" s="1"/>
      <c r="C7" s="2">
        <v>25000</v>
      </c>
      <c r="D7" s="1" t="s">
        <v>209</v>
      </c>
      <c r="E7" s="1"/>
      <c r="F7" s="2">
        <v>9800</v>
      </c>
    </row>
    <row r="8" spans="1:6" x14ac:dyDescent="0.3">
      <c r="A8" s="1" t="s">
        <v>210</v>
      </c>
      <c r="B8" s="1"/>
      <c r="C8" s="22" t="s">
        <v>169</v>
      </c>
      <c r="D8" s="1" t="s">
        <v>211</v>
      </c>
      <c r="E8" s="1"/>
      <c r="F8" s="2">
        <v>4000</v>
      </c>
    </row>
    <row r="9" spans="1:6" x14ac:dyDescent="0.3">
      <c r="A9" s="1"/>
      <c r="B9" s="1"/>
      <c r="C9" s="5">
        <f>SUM(C5:C8)</f>
        <v>710201</v>
      </c>
      <c r="D9" s="1"/>
      <c r="E9" s="1"/>
      <c r="F9" s="5">
        <f>SUM(F3:F8)</f>
        <v>710201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A558-0A92-4CCF-999B-A192CC522824}">
  <dimension ref="A1:C41"/>
  <sheetViews>
    <sheetView workbookViewId="0">
      <selection activeCell="B9" sqref="B9"/>
    </sheetView>
  </sheetViews>
  <sheetFormatPr defaultRowHeight="14.4" x14ac:dyDescent="0.3"/>
  <cols>
    <col min="1" max="1" width="31.44140625" customWidth="1"/>
    <col min="2" max="2" width="57.6640625" customWidth="1"/>
    <col min="3" max="3" width="94" customWidth="1"/>
  </cols>
  <sheetData>
    <row r="1" spans="1:3" ht="17.399999999999999" x14ac:dyDescent="0.3">
      <c r="A1" s="43" t="s">
        <v>213</v>
      </c>
      <c r="B1" s="43"/>
      <c r="C1" s="23" t="s">
        <v>216</v>
      </c>
    </row>
    <row r="2" spans="1:3" x14ac:dyDescent="0.3">
      <c r="A2" s="44" t="s">
        <v>244</v>
      </c>
      <c r="B2" s="44"/>
      <c r="C2" s="24"/>
    </row>
    <row r="3" spans="1:3" x14ac:dyDescent="0.3">
      <c r="A3" s="25" t="s">
        <v>214</v>
      </c>
      <c r="B3" s="26" t="s">
        <v>217</v>
      </c>
      <c r="C3" s="24"/>
    </row>
    <row r="4" spans="1:3" x14ac:dyDescent="0.3">
      <c r="A4" s="27" t="s">
        <v>215</v>
      </c>
      <c r="B4" s="28">
        <v>566401</v>
      </c>
      <c r="C4" s="24" t="s">
        <v>245</v>
      </c>
    </row>
    <row r="5" spans="1:3" x14ac:dyDescent="0.3">
      <c r="A5" s="27" t="s">
        <v>219</v>
      </c>
      <c r="B5" s="28">
        <v>25000</v>
      </c>
      <c r="C5" s="24" t="s">
        <v>218</v>
      </c>
    </row>
    <row r="6" spans="1:3" x14ac:dyDescent="0.3">
      <c r="A6" s="27" t="s">
        <v>221</v>
      </c>
      <c r="B6" s="29">
        <v>22.656040000000001</v>
      </c>
      <c r="C6" s="30" t="s">
        <v>220</v>
      </c>
    </row>
    <row r="7" spans="1:3" x14ac:dyDescent="0.3">
      <c r="A7" s="31"/>
      <c r="B7" s="32"/>
      <c r="C7" s="31"/>
    </row>
    <row r="8" spans="1:3" x14ac:dyDescent="0.3">
      <c r="A8" s="25" t="s">
        <v>222</v>
      </c>
      <c r="B8" s="33" t="s">
        <v>223</v>
      </c>
      <c r="C8" s="24"/>
    </row>
    <row r="9" spans="1:3" x14ac:dyDescent="0.3">
      <c r="A9" s="27" t="s">
        <v>224</v>
      </c>
      <c r="B9" s="28">
        <v>566401</v>
      </c>
      <c r="C9" s="24" t="s">
        <v>246</v>
      </c>
    </row>
    <row r="10" spans="1:3" x14ac:dyDescent="0.3">
      <c r="A10" s="27" t="s">
        <v>219</v>
      </c>
      <c r="B10" s="28">
        <v>25000</v>
      </c>
      <c r="C10" s="24" t="s">
        <v>225</v>
      </c>
    </row>
    <row r="11" spans="1:3" x14ac:dyDescent="0.3">
      <c r="A11" s="27" t="s">
        <v>227</v>
      </c>
      <c r="B11" s="29">
        <v>22.656040000000001</v>
      </c>
      <c r="C11" s="30" t="s">
        <v>226</v>
      </c>
    </row>
    <row r="12" spans="1:3" x14ac:dyDescent="0.3">
      <c r="A12" s="31"/>
      <c r="B12" s="34"/>
      <c r="C12" s="31"/>
    </row>
    <row r="13" spans="1:3" x14ac:dyDescent="0.3">
      <c r="A13" s="25" t="s">
        <v>228</v>
      </c>
      <c r="B13" s="35" t="s">
        <v>229</v>
      </c>
      <c r="C13" s="24"/>
    </row>
    <row r="14" spans="1:3" x14ac:dyDescent="0.3">
      <c r="A14" s="27" t="s">
        <v>230</v>
      </c>
      <c r="B14" s="28">
        <v>566401</v>
      </c>
      <c r="C14" s="24" t="s">
        <v>247</v>
      </c>
    </row>
    <row r="15" spans="1:3" x14ac:dyDescent="0.3">
      <c r="A15" s="27" t="s">
        <v>219</v>
      </c>
      <c r="B15" s="28">
        <v>25000</v>
      </c>
      <c r="C15" s="24" t="s">
        <v>231</v>
      </c>
    </row>
    <row r="16" spans="1:3" x14ac:dyDescent="0.3">
      <c r="A16" s="27" t="s">
        <v>233</v>
      </c>
      <c r="B16" s="29">
        <v>22.656040000000001</v>
      </c>
      <c r="C16" s="24" t="s">
        <v>232</v>
      </c>
    </row>
    <row r="17" spans="1:3" x14ac:dyDescent="0.3">
      <c r="A17" s="36"/>
      <c r="B17" s="34"/>
      <c r="C17" s="31"/>
    </row>
    <row r="18" spans="1:3" x14ac:dyDescent="0.3">
      <c r="A18" s="37" t="s">
        <v>234</v>
      </c>
      <c r="B18" s="35" t="s">
        <v>248</v>
      </c>
      <c r="C18" s="24"/>
    </row>
    <row r="19" spans="1:3" x14ac:dyDescent="0.3">
      <c r="A19" s="27" t="s">
        <v>235</v>
      </c>
      <c r="B19" s="28">
        <v>25000</v>
      </c>
      <c r="C19" s="24" t="s">
        <v>249</v>
      </c>
    </row>
    <row r="20" spans="1:3" x14ac:dyDescent="0.3">
      <c r="A20" s="27" t="s">
        <v>237</v>
      </c>
      <c r="B20" s="28">
        <v>685201</v>
      </c>
      <c r="C20" s="24" t="s">
        <v>236</v>
      </c>
    </row>
    <row r="21" spans="1:3" x14ac:dyDescent="0.3">
      <c r="A21" s="27" t="s">
        <v>239</v>
      </c>
      <c r="B21" s="38">
        <v>3.6485644358370754E-2</v>
      </c>
      <c r="C21" s="24" t="s">
        <v>238</v>
      </c>
    </row>
    <row r="22" spans="1:3" x14ac:dyDescent="0.3">
      <c r="A22" s="31"/>
      <c r="B22" s="32"/>
      <c r="C22" s="31"/>
    </row>
    <row r="23" spans="1:3" x14ac:dyDescent="0.3">
      <c r="A23" s="25" t="s">
        <v>240</v>
      </c>
      <c r="B23" s="35" t="s">
        <v>250</v>
      </c>
      <c r="C23" s="24" t="s">
        <v>251</v>
      </c>
    </row>
    <row r="24" spans="1:3" x14ac:dyDescent="0.3">
      <c r="A24" s="27" t="s">
        <v>235</v>
      </c>
      <c r="B24" s="28">
        <v>25000</v>
      </c>
      <c r="C24" s="24" t="s">
        <v>241</v>
      </c>
    </row>
    <row r="25" spans="1:3" x14ac:dyDescent="0.3">
      <c r="A25" s="27" t="s">
        <v>242</v>
      </c>
      <c r="B25" s="28">
        <v>710210</v>
      </c>
      <c r="C25" s="24" t="s">
        <v>252</v>
      </c>
    </row>
    <row r="26" spans="1:3" x14ac:dyDescent="0.3">
      <c r="A26" s="27" t="s">
        <v>243</v>
      </c>
      <c r="B26" s="38">
        <v>3.520085608481998E-2</v>
      </c>
      <c r="C26" s="24" t="s">
        <v>253</v>
      </c>
    </row>
    <row r="27" spans="1:3" x14ac:dyDescent="0.3">
      <c r="A27" s="31"/>
      <c r="B27" s="32"/>
      <c r="C27" s="31"/>
    </row>
    <row r="28" spans="1:3" x14ac:dyDescent="0.3">
      <c r="A28" s="25" t="s">
        <v>254</v>
      </c>
      <c r="B28" s="35" t="s">
        <v>255</v>
      </c>
      <c r="C28" s="24" t="s">
        <v>256</v>
      </c>
    </row>
    <row r="29" spans="1:3" x14ac:dyDescent="0.3">
      <c r="A29" s="27" t="s">
        <v>257</v>
      </c>
      <c r="B29" s="28">
        <v>50200</v>
      </c>
      <c r="C29" s="24" t="s">
        <v>258</v>
      </c>
    </row>
    <row r="30" spans="1:3" x14ac:dyDescent="0.3">
      <c r="A30" s="27" t="s">
        <v>242</v>
      </c>
      <c r="B30" s="28">
        <v>710201</v>
      </c>
      <c r="C30" s="24" t="s">
        <v>259</v>
      </c>
    </row>
    <row r="31" spans="1:3" x14ac:dyDescent="0.3">
      <c r="A31" s="27" t="s">
        <v>260</v>
      </c>
      <c r="B31" s="39">
        <v>7.0684214750472055E-2</v>
      </c>
      <c r="C31" s="24" t="s">
        <v>261</v>
      </c>
    </row>
    <row r="32" spans="1:3" x14ac:dyDescent="0.3">
      <c r="A32" s="31"/>
      <c r="B32" s="32"/>
      <c r="C32" s="31"/>
    </row>
    <row r="33" spans="1:3" x14ac:dyDescent="0.3">
      <c r="A33" s="25" t="s">
        <v>262</v>
      </c>
      <c r="B33" s="35" t="s">
        <v>263</v>
      </c>
      <c r="C33" s="24"/>
    </row>
    <row r="34" spans="1:3" x14ac:dyDescent="0.3">
      <c r="A34" s="27" t="s">
        <v>264</v>
      </c>
      <c r="B34" s="28"/>
      <c r="C34" s="24"/>
    </row>
    <row r="35" spans="1:3" x14ac:dyDescent="0.3">
      <c r="A35" s="27" t="s">
        <v>265</v>
      </c>
      <c r="B35" s="28"/>
      <c r="C35" s="24"/>
    </row>
    <row r="36" spans="1:3" x14ac:dyDescent="0.3">
      <c r="A36" s="27" t="s">
        <v>266</v>
      </c>
      <c r="B36" s="28"/>
      <c r="C36" s="24"/>
    </row>
    <row r="37" spans="1:3" x14ac:dyDescent="0.3">
      <c r="A37" s="31"/>
      <c r="B37" s="32"/>
      <c r="C37" s="31"/>
    </row>
    <row r="38" spans="1:3" x14ac:dyDescent="0.3">
      <c r="A38" s="25" t="s">
        <v>267</v>
      </c>
      <c r="B38" s="35" t="s">
        <v>268</v>
      </c>
      <c r="C38" s="24"/>
    </row>
    <row r="39" spans="1:3" x14ac:dyDescent="0.3">
      <c r="A39" s="27" t="s">
        <v>269</v>
      </c>
      <c r="B39" s="28">
        <v>50200</v>
      </c>
      <c r="C39" s="24" t="s">
        <v>270</v>
      </c>
    </row>
    <row r="40" spans="1:3" x14ac:dyDescent="0.3">
      <c r="A40" s="27" t="s">
        <v>271</v>
      </c>
      <c r="B40" s="28">
        <v>541401</v>
      </c>
      <c r="C40" s="24" t="s">
        <v>272</v>
      </c>
    </row>
    <row r="41" spans="1:3" x14ac:dyDescent="0.3">
      <c r="A41" s="40" t="s">
        <v>273</v>
      </c>
      <c r="B41" s="41">
        <v>9.272239984780227E-2</v>
      </c>
      <c r="C41" s="42" t="s">
        <v>274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journal entries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2026-07-08T03:34:02Z</dcterms:created>
  <dcterms:modified xsi:type="dcterms:W3CDTF">2026-07-22T03:27:01Z</dcterms:modified>
</cp:coreProperties>
</file>