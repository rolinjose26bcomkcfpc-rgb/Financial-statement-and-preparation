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CF46568A-E662-4441-86A3-3BE193098A74}" xr6:coauthVersionLast="47" xr6:coauthVersionMax="47" xr10:uidLastSave="{00000000-0000-0000-0000-000000000000}"/>
  <bookViews>
    <workbookView xWindow="0" yWindow="360" windowWidth="23256" windowHeight="12456" xr2:uid="{D2494EC8-34A2-4D8C-B4F0-F29A71BF9596}"/>
  </bookViews>
  <sheets>
    <sheet name="Problem" sheetId="1" r:id="rId1"/>
    <sheet name="Journal Entires" sheetId="2" r:id="rId2"/>
    <sheet name="Ledger" sheetId="3" r:id="rId3"/>
    <sheet name="Trail balance" sheetId="4" r:id="rId4"/>
    <sheet name="Trading account" sheetId="5" r:id="rId5"/>
    <sheet name="P&amp;L account" sheetId="6" r:id="rId6"/>
    <sheet name="Balance sheet" sheetId="7" r:id="rId7"/>
    <sheet name="Sheet1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4" l="1"/>
  <c r="F10" i="7"/>
  <c r="C10" i="7"/>
  <c r="F9" i="7"/>
  <c r="C9" i="7"/>
  <c r="C6" i="7"/>
  <c r="D36" i="3"/>
  <c r="H33" i="3"/>
  <c r="D35" i="3"/>
  <c r="H35" i="3" s="1"/>
  <c r="D27" i="3"/>
  <c r="H27" i="3" s="1"/>
  <c r="H26" i="3" s="1"/>
  <c r="D28" i="3" s="1"/>
  <c r="F6" i="6"/>
  <c r="F11" i="6"/>
  <c r="C11" i="6"/>
  <c r="C9" i="5"/>
  <c r="F4" i="5"/>
  <c r="F10" i="5" s="1"/>
  <c r="C10" i="5" s="1"/>
  <c r="C5" i="5"/>
  <c r="C29" i="4"/>
</calcChain>
</file>

<file path=xl/sharedStrings.xml><?xml version="1.0" encoding="utf-8"?>
<sst xmlns="http://schemas.openxmlformats.org/spreadsheetml/2006/main" count="806" uniqueCount="316">
  <si>
    <t>In the books of ABC Traders for the year ended 31-03-2025</t>
  </si>
  <si>
    <t>Date</t>
  </si>
  <si>
    <t>Particulars</t>
  </si>
  <si>
    <t>Lf</t>
  </si>
  <si>
    <t>Credit ₹</t>
  </si>
  <si>
    <t xml:space="preserve">Cash a/c </t>
  </si>
  <si>
    <t>Debit₹</t>
  </si>
  <si>
    <t>Dr</t>
  </si>
  <si>
    <t>1.4.2025</t>
  </si>
  <si>
    <t>(being started business with cash)</t>
  </si>
  <si>
    <t>To ABC  Traders's capital a/c</t>
  </si>
  <si>
    <t xml:space="preserve">Bank a/c </t>
  </si>
  <si>
    <t>To Cash a/c</t>
  </si>
  <si>
    <t>(being cash deposited to bank)</t>
  </si>
  <si>
    <t>(being purchased goods for cash)</t>
  </si>
  <si>
    <t>Purchase a/c</t>
  </si>
  <si>
    <t>Ravi a/c</t>
  </si>
  <si>
    <t>(being purchased goods from Ravi on credit)</t>
  </si>
  <si>
    <t>(being sold goods for cash)</t>
  </si>
  <si>
    <t>Kumar a/c</t>
  </si>
  <si>
    <t>To Ravi a/c</t>
  </si>
  <si>
    <t>To Sales a/c</t>
  </si>
  <si>
    <t>To sales  a/c</t>
  </si>
  <si>
    <t>(being sold goods for Kumar on credit)</t>
  </si>
  <si>
    <t xml:space="preserve">Rent a/c </t>
  </si>
  <si>
    <t>To cash a/c</t>
  </si>
  <si>
    <t>Purchased a/c</t>
  </si>
  <si>
    <t>(being rent paid by cash)</t>
  </si>
  <si>
    <t xml:space="preserve">Salary a/c </t>
  </si>
  <si>
    <t>To  cash a/c</t>
  </si>
  <si>
    <t>(being paid salary by cash)</t>
  </si>
  <si>
    <t xml:space="preserve">Furniture a/c </t>
  </si>
  <si>
    <t>(being purchased furniture for cash)</t>
  </si>
  <si>
    <t xml:space="preserve">Electricity charges a/c </t>
  </si>
  <si>
    <t>(being paid electricity charges)</t>
  </si>
  <si>
    <t xml:space="preserve">To Kumar a/c </t>
  </si>
  <si>
    <t>(being cash received from Kumar)</t>
  </si>
  <si>
    <t>To bank a/c</t>
  </si>
  <si>
    <t>(being paid Ravi by cheque)</t>
  </si>
  <si>
    <t xml:space="preserve">stationery a/c </t>
  </si>
  <si>
    <t xml:space="preserve">To cash a/c </t>
  </si>
  <si>
    <t>(being purchsed stationery for cash)</t>
  </si>
  <si>
    <t xml:space="preserve">Travelling expense a/c </t>
  </si>
  <si>
    <t xml:space="preserve">To commision received a/c </t>
  </si>
  <si>
    <t xml:space="preserve">Drawings a/c </t>
  </si>
  <si>
    <t xml:space="preserve">To Suresh a/c </t>
  </si>
  <si>
    <t xml:space="preserve">Priya a/c </t>
  </si>
  <si>
    <t xml:space="preserve">To sales a/c </t>
  </si>
  <si>
    <t>Cash a/c</t>
  </si>
  <si>
    <t>To Priya a/c</t>
  </si>
  <si>
    <t>Carriage inward a/c</t>
  </si>
  <si>
    <t>Suresh a/c</t>
  </si>
  <si>
    <t>To purchase return a/c</t>
  </si>
  <si>
    <t xml:space="preserve">Sales return a/c </t>
  </si>
  <si>
    <t>Bank a/c</t>
  </si>
  <si>
    <t>To interest received a/c</t>
  </si>
  <si>
    <t>Telephone charges a/c</t>
  </si>
  <si>
    <t xml:space="preserve">Computer a/c </t>
  </si>
  <si>
    <t>Insurance premium a/c</t>
  </si>
  <si>
    <t>Wages a/c</t>
  </si>
  <si>
    <t>Advertisement expenses a/c</t>
  </si>
  <si>
    <t>(being paid travelling expenses)</t>
  </si>
  <si>
    <t>(being commision received)</t>
  </si>
  <si>
    <t>(being whithdrawn cash for personal use)</t>
  </si>
  <si>
    <t>(being purchased goods from suresh on credit)</t>
  </si>
  <si>
    <t>(being sold goods to priya on credit)</t>
  </si>
  <si>
    <t>(being received cash from Priya )</t>
  </si>
  <si>
    <t>(being paid carriage inward)</t>
  </si>
  <si>
    <t>(being returned goods to suresh)</t>
  </si>
  <si>
    <t>(being Kumar returned goods)</t>
  </si>
  <si>
    <t>(being received interest from bank)</t>
  </si>
  <si>
    <t>(being Telephone charges paid)</t>
  </si>
  <si>
    <t>(being purchased computer for cash)</t>
  </si>
  <si>
    <t>(being paid insurance premium)</t>
  </si>
  <si>
    <t>(being received cash sales)</t>
  </si>
  <si>
    <t>(being paid wages)</t>
  </si>
  <si>
    <t>(being paid advertisement expenses)</t>
  </si>
  <si>
    <t>(being deposited additional cash into bank)</t>
  </si>
  <si>
    <t>Journal entries</t>
  </si>
  <si>
    <t>In the books of Ledger account of ABC Traders for the year ended 31.3.2025</t>
  </si>
  <si>
    <t>Capital a/c</t>
  </si>
  <si>
    <t>1.4.2024</t>
  </si>
  <si>
    <t>3.4.2024</t>
  </si>
  <si>
    <t>25.4.2024</t>
  </si>
  <si>
    <t>15.4.2024</t>
  </si>
  <si>
    <t>2.5.2024</t>
  </si>
  <si>
    <t>10.5.2024</t>
  </si>
  <si>
    <t>18.5.2024</t>
  </si>
  <si>
    <t>27.5.2024</t>
  </si>
  <si>
    <t>15.6.2024</t>
  </si>
  <si>
    <t>24.6.2024</t>
  </si>
  <si>
    <t>30.6.2024</t>
  </si>
  <si>
    <t>5.7.2024</t>
  </si>
  <si>
    <t>15.7.2024</t>
  </si>
  <si>
    <t>25.7.2024</t>
  </si>
  <si>
    <t>4.8.2024</t>
  </si>
  <si>
    <t>10.8.2024</t>
  </si>
  <si>
    <t>20.8.2024</t>
  </si>
  <si>
    <t>3.9.2024</t>
  </si>
  <si>
    <t>10.9.2024</t>
  </si>
  <si>
    <t>28.9.2024</t>
  </si>
  <si>
    <t>10.10.2024</t>
  </si>
  <si>
    <t>4.11.2024</t>
  </si>
  <si>
    <t>18.11.2024</t>
  </si>
  <si>
    <t>5.12.2024</t>
  </si>
  <si>
    <t>15.12.2024</t>
  </si>
  <si>
    <t>10.1.2025</t>
  </si>
  <si>
    <t>27.1.2025</t>
  </si>
  <si>
    <t>10.2.2025</t>
  </si>
  <si>
    <t>25.2.2025</t>
  </si>
  <si>
    <t>18.3.2025</t>
  </si>
  <si>
    <t>Amount ₹</t>
  </si>
  <si>
    <t>Jf</t>
  </si>
  <si>
    <t>By cash a/c</t>
  </si>
  <si>
    <t>31.3.2025</t>
  </si>
  <si>
    <t>To balance c/d</t>
  </si>
  <si>
    <t>By balance b/d</t>
  </si>
  <si>
    <t xml:space="preserve">Date </t>
  </si>
  <si>
    <t>To Capital a/c</t>
  </si>
  <si>
    <t>By bank a/c</t>
  </si>
  <si>
    <t>By Purchase a/c</t>
  </si>
  <si>
    <t>To sales a/c</t>
  </si>
  <si>
    <t>By rent a/c</t>
  </si>
  <si>
    <t>By salary a/c</t>
  </si>
  <si>
    <t>By furniture a/c</t>
  </si>
  <si>
    <t>By stationery a/c</t>
  </si>
  <si>
    <t>By drawings a/c</t>
  </si>
  <si>
    <t>To priya a/c</t>
  </si>
  <si>
    <t>By  computer a/c</t>
  </si>
  <si>
    <t>By wages a/c</t>
  </si>
  <si>
    <t>By balance c/d</t>
  </si>
  <si>
    <t>To balance b/d</t>
  </si>
  <si>
    <t>By electricity charges a/c</t>
  </si>
  <si>
    <t>By Ravi a/c</t>
  </si>
  <si>
    <t>To commision received a/c</t>
  </si>
  <si>
    <t>By carriage inward a/c</t>
  </si>
  <si>
    <t>By telephone charges a/c</t>
  </si>
  <si>
    <t>By insurance premium a/c</t>
  </si>
  <si>
    <t xml:space="preserve">By advertisement expense a/c </t>
  </si>
  <si>
    <t>To Suresh a/c</t>
  </si>
  <si>
    <t>Sales a/c</t>
  </si>
  <si>
    <t>By Kumar a/c</t>
  </si>
  <si>
    <t>By Priya a/c</t>
  </si>
  <si>
    <t>Purchase return a/c</t>
  </si>
  <si>
    <t>By  Suresh a/c</t>
  </si>
  <si>
    <t>Sales return a/c</t>
  </si>
  <si>
    <t>To Kumar a/c</t>
  </si>
  <si>
    <t>By purchase a/c</t>
  </si>
  <si>
    <t xml:space="preserve">Jf </t>
  </si>
  <si>
    <t>By sales return a/c</t>
  </si>
  <si>
    <t>Rent a/c</t>
  </si>
  <si>
    <t>Salary a/c</t>
  </si>
  <si>
    <t xml:space="preserve">By balance c/d </t>
  </si>
  <si>
    <t>Furniture a/c</t>
  </si>
  <si>
    <t>Electricity charges a/c</t>
  </si>
  <si>
    <t>Stationery a/c</t>
  </si>
  <si>
    <t>Travelling expenses a/c</t>
  </si>
  <si>
    <t>Commission received a/c</t>
  </si>
  <si>
    <t>Particular</t>
  </si>
  <si>
    <t>Paticulars</t>
  </si>
  <si>
    <t xml:space="preserve">Particulars </t>
  </si>
  <si>
    <t xml:space="preserve">By cash a/c </t>
  </si>
  <si>
    <t>To bank</t>
  </si>
  <si>
    <t xml:space="preserve">Interest received a/c </t>
  </si>
  <si>
    <t>Computer a/c</t>
  </si>
  <si>
    <t xml:space="preserve">Advertisement expenses a/c </t>
  </si>
  <si>
    <t>s.no</t>
  </si>
  <si>
    <t>Debit ₹</t>
  </si>
  <si>
    <t>Trail balance as on 31.3.2025</t>
  </si>
  <si>
    <t>sales return a/c</t>
  </si>
  <si>
    <t>sales a/c</t>
  </si>
  <si>
    <t>purchase return a/c</t>
  </si>
  <si>
    <t>Ravi a/c(</t>
  </si>
  <si>
    <t>Furniture  a/c</t>
  </si>
  <si>
    <t>Stationary a/c</t>
  </si>
  <si>
    <t>Drawings a/c</t>
  </si>
  <si>
    <t>Priya a/c</t>
  </si>
  <si>
    <t>Interest received a/c</t>
  </si>
  <si>
    <t>Total</t>
  </si>
  <si>
    <t>Trading a/c for the year ended 31.3.2025</t>
  </si>
  <si>
    <t>Amountr ₹</t>
  </si>
  <si>
    <t>To opening stock</t>
  </si>
  <si>
    <t>-</t>
  </si>
  <si>
    <t xml:space="preserve">To purchase </t>
  </si>
  <si>
    <t xml:space="preserve">Less:purchase return </t>
  </si>
  <si>
    <t>By sales</t>
  </si>
  <si>
    <t>Less: sales return</t>
  </si>
  <si>
    <t>To gross profit c/d</t>
  </si>
  <si>
    <t>Profit and loss a/c for the year ended 31.3.2025</t>
  </si>
  <si>
    <t xml:space="preserve">By gross profit </t>
  </si>
  <si>
    <t xml:space="preserve">By Commission received </t>
  </si>
  <si>
    <t>By interest received</t>
  </si>
  <si>
    <t xml:space="preserve">To rent </t>
  </si>
  <si>
    <t xml:space="preserve">To salary </t>
  </si>
  <si>
    <t xml:space="preserve">To electricity caharges </t>
  </si>
  <si>
    <t xml:space="preserve">To stationery </t>
  </si>
  <si>
    <t xml:space="preserve">To travrlling expences </t>
  </si>
  <si>
    <t xml:space="preserve">To trelephone chareges </t>
  </si>
  <si>
    <t xml:space="preserve">To insurance premium </t>
  </si>
  <si>
    <t xml:space="preserve">To advertisement expences </t>
  </si>
  <si>
    <t>By net loss</t>
  </si>
  <si>
    <t>To Cash  a/c</t>
  </si>
  <si>
    <t xml:space="preserve">By closing stock </t>
  </si>
  <si>
    <t>To cash  a/c</t>
  </si>
  <si>
    <t>By travelling expences a/c</t>
  </si>
  <si>
    <t xml:space="preserve">Cash  a/c </t>
  </si>
  <si>
    <t xml:space="preserve"> carriage inwards</t>
  </si>
  <si>
    <t>To direct expenses</t>
  </si>
  <si>
    <t xml:space="preserve"> wages</t>
  </si>
  <si>
    <t>Balance sheet as on 31.3.2025</t>
  </si>
  <si>
    <t>Assets</t>
  </si>
  <si>
    <t>Liabilities</t>
  </si>
  <si>
    <t>Capital</t>
  </si>
  <si>
    <t>Less: net loss</t>
  </si>
  <si>
    <t>Less: drawings</t>
  </si>
  <si>
    <t>Sundry creditors</t>
  </si>
  <si>
    <t>Ravi</t>
  </si>
  <si>
    <t xml:space="preserve">Suresh </t>
  </si>
  <si>
    <t xml:space="preserve">Cash </t>
  </si>
  <si>
    <t xml:space="preserve">Bank </t>
  </si>
  <si>
    <t xml:space="preserve">Furniture </t>
  </si>
  <si>
    <t xml:space="preserve">Computer </t>
  </si>
  <si>
    <t xml:space="preserve">Sundry debtors </t>
  </si>
  <si>
    <t xml:space="preserve">Kumar </t>
  </si>
  <si>
    <t>Priya</t>
  </si>
  <si>
    <t>From the following Transaction of ABC Traders as on 31.3.2025, Prepare</t>
  </si>
  <si>
    <t>Journal, Ledger, Trial Balance, Final accounts and Ratio Analysis</t>
  </si>
  <si>
    <t>April 1 Started business with cash – ₹2,00,000.</t>
  </si>
  <si>
    <t>April 3 Deposited cash into bank – ₹1,00,000.</t>
  </si>
  <si>
    <t>April15 Purchased goods for cash – ₹20,000.</t>
  </si>
  <si>
    <t>April 25 Purchased goods from Ravi on credit – ₹15,000.</t>
  </si>
  <si>
    <t>May 2 Sold goods for cash – ₹25,000.</t>
  </si>
  <si>
    <t>May 10 Sold goods to Kumar on credit – ₹18,000.</t>
  </si>
  <si>
    <t>May 18 Paid rent by cash – ₹5,000.</t>
  </si>
  <si>
    <t>May 27 Paid salary by cash – ₹8,000.</t>
  </si>
  <si>
    <t>June15 Purchased furniture for cash – ₹12,000.</t>
  </si>
  <si>
    <t>June 24 Paid electricity charges – ₹2,000.</t>
  </si>
  <si>
    <t>June 30 Received cash from Kumar – ₹10,000.</t>
  </si>
  <si>
    <t>July 5 Paid Ravi by cheque – ₹12,000.</t>
  </si>
  <si>
    <t>July 15 Purchased stationery for cash – ₹1,500.</t>
  </si>
  <si>
    <t>July 25 Paid travelling expenses – ₹2,500.</t>
  </si>
  <si>
    <t>Aug 4 Received commission – ₹3,000.</t>
  </si>
  <si>
    <t>Aug 10 Withdrew cash for personal use – ₹5,000.</t>
  </si>
  <si>
    <t>Aug 20 Purchased goods from Suresh on credit – ₹10,000.</t>
  </si>
  <si>
    <t>Sep 3 Sold goods to Priya on credit – ₹14,000.</t>
  </si>
  <si>
    <t>Sep 10 Received cash from Priya – ₹8,000.</t>
  </si>
  <si>
    <t>Sep 28 Paid carriage inward – ₹1,200.</t>
  </si>
  <si>
    <t>Oct 10 Returned goods to Suresh – ₹1,000.</t>
  </si>
  <si>
    <t>Nov 4 Kumar returned goods – ₹2,000.</t>
  </si>
  <si>
    <t>Nov 18 Received interest from bank – ₹800.</t>
  </si>
  <si>
    <t>Dec 5 Paid telephone charges – ₹1,000.</t>
  </si>
  <si>
    <t>Dec15 Purchased computer for cash – ₹30,000.</t>
  </si>
  <si>
    <t>Jan 10 Paid insurance premium – ₹2,500.</t>
  </si>
  <si>
    <t>Jan 27 Received cash sales – ₹15,000.</t>
  </si>
  <si>
    <t>Feb 10 Paid wages – ₹4,000.</t>
  </si>
  <si>
    <t>Feb 25 Paid advertisement expenses – ₹3,000.</t>
  </si>
  <si>
    <t>Mar 18 Deposited additional cash into bank – ₹20,000.</t>
  </si>
  <si>
    <t>Ratio Analysis</t>
  </si>
  <si>
    <t>Current Liabilities</t>
  </si>
  <si>
    <t>Current Ratio</t>
  </si>
  <si>
    <t>Quick Assets</t>
  </si>
  <si>
    <t>Quick Ratio</t>
  </si>
  <si>
    <t>3.Cash Ratio</t>
  </si>
  <si>
    <t>Interpretation of results.</t>
  </si>
  <si>
    <t>(Complete the Ratio Analysis which is applicable)</t>
  </si>
  <si>
    <t>1.Current Ratio</t>
  </si>
  <si>
    <t>Current Assets/ Current Liabilities.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</si>
  <si>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2:1.</t>
    </r>
  </si>
  <si>
    <t>Current Assets</t>
  </si>
  <si>
    <t>The firm has ₹13.68 of current assets for every ₹1 of current Liabilities.</t>
  </si>
  <si>
    <r>
      <t>Indicates</t>
    </r>
    <r>
      <rPr>
        <b/>
        <sz val="11"/>
        <color theme="1"/>
        <rFont val="Aptos Narrow"/>
        <family val="2"/>
        <scheme val="minor"/>
      </rPr>
      <t xml:space="preserve"> good short-term solvency.</t>
    </r>
  </si>
  <si>
    <t>2. Quick Ratio</t>
  </si>
  <si>
    <t>(Current Assets - Inventory - Prepaid Expenses) / Current Liabilities.</t>
  </si>
  <si>
    <r>
      <t xml:space="preserve">Ideal quick ratio </t>
    </r>
    <r>
      <rPr>
        <b/>
        <sz val="11"/>
        <color theme="1"/>
        <rFont val="Aptos Narrow"/>
        <family val="2"/>
        <scheme val="minor"/>
      </rPr>
      <t>1:1.</t>
    </r>
  </si>
  <si>
    <t>Firm can reply current liabilities even without selling inventory.</t>
  </si>
  <si>
    <t>(Cash + Cash Equivalents) / Current Liabilities.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</si>
  <si>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0.5:1</t>
    </r>
    <r>
      <rPr>
        <sz val="11"/>
        <color theme="1"/>
        <rFont val="Aptos Narrow"/>
        <family val="2"/>
        <scheme val="minor"/>
      </rPr>
      <t>.</t>
    </r>
  </si>
  <si>
    <t>Cash and Cash Equivalents</t>
  </si>
  <si>
    <t>The company has ₹12.68 of cash and bank balance for every ₹1 of current liabilities.</t>
  </si>
  <si>
    <t>Indicates a very strong immediate liquidity position.</t>
  </si>
  <si>
    <t>Cash Ratio</t>
  </si>
  <si>
    <t>4,Debt-to-Equity Ratio</t>
  </si>
  <si>
    <t>Total Debt/ Shareholder's Equity.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</si>
  <si>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&lt;1.0</t>
    </r>
    <r>
      <rPr>
        <sz val="11"/>
        <color theme="1"/>
        <rFont val="Aptos Narrow"/>
        <family val="2"/>
        <scheme val="minor"/>
      </rPr>
      <t>.</t>
    </r>
  </si>
  <si>
    <t>Total Debt</t>
  </si>
  <si>
    <t>The Firm has 0.0062 of debt for every ₹1 of equity.</t>
  </si>
  <si>
    <t>Shareholder's Equity</t>
  </si>
  <si>
    <t>Indicates own financial risk and strong solvency position.</t>
  </si>
  <si>
    <t>Debt-to-Equity Ratio</t>
  </si>
  <si>
    <t>5.Debt-to-Asset Ratio</t>
  </si>
  <si>
    <t>Total Debt/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</si>
  <si>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</t>
    </r>
    <r>
      <rPr>
        <sz val="11"/>
        <color theme="1"/>
        <rFont val="Aptos Narrow"/>
        <family val="2"/>
        <scheme val="minor"/>
      </rPr>
      <t>.</t>
    </r>
  </si>
  <si>
    <t>The firm has ₹0.058 of debt for every ₹1 invested in total assets.</t>
  </si>
  <si>
    <t>Total Asset</t>
  </si>
  <si>
    <t>The finances 5.8% of its assets through debt.</t>
  </si>
  <si>
    <t>Indicates strong fianacial stability.</t>
  </si>
  <si>
    <t>6.Assets Turnover Ratio</t>
  </si>
  <si>
    <t>Net Sales /Total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</si>
  <si>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&gt; 2 times</t>
    </r>
    <r>
      <rPr>
        <sz val="11"/>
        <color theme="1"/>
        <rFont val="Aptos Narrow"/>
        <family val="2"/>
        <scheme val="minor"/>
      </rPr>
      <t>.</t>
    </r>
  </si>
  <si>
    <t>Net Sales</t>
  </si>
  <si>
    <t>The firm generates only ₹0.34 of sales for every ₹1 invested in total assets.</t>
  </si>
  <si>
    <r>
      <t xml:space="preserve">If Ratio is Very low </t>
    </r>
    <r>
      <rPr>
        <sz val="11"/>
        <color theme="1"/>
        <rFont val="Aptos Narrow"/>
        <family val="2"/>
      </rPr>
      <t>→</t>
    </r>
    <r>
      <rPr>
        <sz val="10.8"/>
        <color theme="1"/>
        <rFont val="Aptos Narrow"/>
        <family val="2"/>
      </rPr>
      <t xml:space="preserve"> poor Utilization of assets.</t>
    </r>
  </si>
  <si>
    <t>Asset Turnover ratio</t>
  </si>
  <si>
    <t>It indicating that assets are very not being used efficiently to generate sales.</t>
  </si>
  <si>
    <t>7.Inventory Turnover Ratio</t>
  </si>
  <si>
    <t>COGS/ Average inventory.</t>
  </si>
  <si>
    <t>COGS</t>
  </si>
  <si>
    <t>Average Inventory</t>
  </si>
  <si>
    <t>Inventory Turnover Ratio</t>
  </si>
  <si>
    <t>8.Working Capital Turnover Ratio</t>
  </si>
  <si>
    <t>Net Sales /Working Capital.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</si>
  <si>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2-4 Times.</t>
    </r>
  </si>
  <si>
    <t>Working Capital</t>
  </si>
  <si>
    <t>The Working Capital Turnover Ratio of 0.47 times is below the ideal range of 2–4 times.</t>
  </si>
  <si>
    <t>Working Capital Turnover ratio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</si>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</sst>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_ * #,##0.00_ ;_ * \-#,##0.00_ ;_ * &quot;-&quot;??_ ;_ @_ "/>
    <numFmt numFmtId="170" formatCode="_ * #,##0_ ;_ * \-#,##0_ ;_ * &quot;-&quot;??_ ;_ @_ "/>
    <numFmt numFmtId="171" formatCode="_ * #,##0.000_ ;_ * \-#,##0.00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.8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9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7" fontId="0" fillId="0" borderId="1" xfId="0" applyNumberFormat="1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3" fontId="1" fillId="3" borderId="1" xfId="0" applyNumberFormat="1" applyFont="1" applyFill="1" applyBorder="1"/>
    <xf numFmtId="3" fontId="0" fillId="0" borderId="0" xfId="0" applyNumberFormat="1"/>
    <xf numFmtId="0" fontId="1" fillId="0" borderId="0" xfId="0" applyFont="1"/>
    <xf numFmtId="0" fontId="1" fillId="5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0" xfId="0" applyFill="1"/>
    <xf numFmtId="0" fontId="0" fillId="8" borderId="4" xfId="0" applyFill="1" applyBorder="1"/>
    <xf numFmtId="0" fontId="0" fillId="8" borderId="4" xfId="0" applyFill="1" applyBorder="1" applyAlignment="1">
      <alignment horizontal="right"/>
    </xf>
    <xf numFmtId="0" fontId="0" fillId="8" borderId="5" xfId="0" applyFill="1" applyBorder="1" applyAlignment="1">
      <alignment horizontal="right"/>
    </xf>
    <xf numFmtId="0" fontId="1" fillId="8" borderId="3" xfId="0" applyFont="1" applyFill="1" applyBorder="1"/>
    <xf numFmtId="0" fontId="1" fillId="8" borderId="3" xfId="0" applyFont="1" applyFill="1" applyBorder="1" applyAlignment="1">
      <alignment horizontal="left"/>
    </xf>
    <xf numFmtId="0" fontId="1" fillId="8" borderId="4" xfId="0" applyFont="1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1" fillId="8" borderId="1" xfId="0" applyFont="1" applyFill="1" applyBorder="1"/>
    <xf numFmtId="170" fontId="0" fillId="8" borderId="0" xfId="1" applyNumberFormat="1" applyFont="1" applyFill="1"/>
    <xf numFmtId="0" fontId="1" fillId="8" borderId="0" xfId="0" applyFont="1" applyFill="1"/>
    <xf numFmtId="170" fontId="1" fillId="8" borderId="0" xfId="1" applyNumberFormat="1" applyFont="1" applyFill="1"/>
    <xf numFmtId="169" fontId="1" fillId="8" borderId="10" xfId="1" applyFont="1" applyFill="1" applyBorder="1"/>
    <xf numFmtId="171" fontId="1" fillId="8" borderId="10" xfId="1" applyNumberFormat="1" applyFont="1" applyFill="1" applyBorder="1"/>
    <xf numFmtId="0" fontId="1" fillId="8" borderId="4" xfId="0" applyFont="1" applyFill="1" applyBorder="1" applyAlignment="1">
      <alignment horizontal="left"/>
    </xf>
    <xf numFmtId="0" fontId="0" fillId="8" borderId="5" xfId="0" applyFill="1" applyBorder="1"/>
    <xf numFmtId="171" fontId="1" fillId="8" borderId="2" xfId="1" applyNumberFormat="1" applyFont="1" applyFill="1" applyBorder="1"/>
    <xf numFmtId="2" fontId="1" fillId="8" borderId="2" xfId="0" applyNumberFormat="1" applyFont="1" applyFill="1" applyBorder="1"/>
    <xf numFmtId="170" fontId="1" fillId="8" borderId="7" xfId="1" applyNumberFormat="1" applyFont="1" applyFill="1" applyBorder="1"/>
    <xf numFmtId="170" fontId="1" fillId="8" borderId="8" xfId="1" applyNumberFormat="1" applyFont="1" applyFill="1" applyBorder="1"/>
    <xf numFmtId="170" fontId="0" fillId="8" borderId="8" xfId="1" applyNumberFormat="1" applyFont="1" applyFill="1" applyBorder="1"/>
    <xf numFmtId="171" fontId="1" fillId="8" borderId="9" xfId="1" applyNumberFormat="1" applyFont="1" applyFill="1" applyBorder="1"/>
    <xf numFmtId="0" fontId="1" fillId="8" borderId="11" xfId="0" applyFont="1" applyFill="1" applyBorder="1"/>
    <xf numFmtId="0" fontId="0" fillId="8" borderId="3" xfId="0" applyFill="1" applyBorder="1"/>
    <xf numFmtId="0" fontId="0" fillId="8" borderId="0" xfId="0" applyFill="1" applyAlignment="1">
      <alignment horizontal="right"/>
    </xf>
    <xf numFmtId="0" fontId="0" fillId="8" borderId="2" xfId="0" applyFill="1" applyBorder="1" applyAlignment="1">
      <alignment horizontal="right"/>
    </xf>
    <xf numFmtId="170" fontId="0" fillId="8" borderId="9" xfId="1" applyNumberFormat="1" applyFont="1" applyFill="1" applyBorder="1"/>
    <xf numFmtId="170" fontId="0" fillId="8" borderId="0" xfId="1" applyNumberFormat="1" applyFont="1" applyFill="1" applyBorder="1"/>
    <xf numFmtId="169" fontId="1" fillId="8" borderId="2" xfId="1" applyFont="1" applyFill="1" applyBorder="1"/>
    <xf numFmtId="0" fontId="3" fillId="8" borderId="1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</cellXfs>
  <cellStyles count="2">
    <cellStyle name="Comma 2" xfId="1" xr:uid="{0733937B-B692-439C-AD5D-46DE6F3100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C161-55A7-4FED-A2A8-9DF5CE2EBF78}">
  <dimension ref="A1:G32"/>
  <sheetViews>
    <sheetView tabSelected="1" workbookViewId="0"/>
  </sheetViews>
  <sheetFormatPr defaultRowHeight="14.4" x14ac:dyDescent="0.3"/>
  <sheetData>
    <row r="1" spans="1:7" x14ac:dyDescent="0.3">
      <c r="A1" s="11" t="s">
        <v>225</v>
      </c>
      <c r="B1" s="11"/>
      <c r="C1" s="11"/>
      <c r="D1" s="11"/>
      <c r="E1" s="11"/>
      <c r="F1" s="11"/>
      <c r="G1" s="11"/>
    </row>
    <row r="2" spans="1:7" x14ac:dyDescent="0.3">
      <c r="A2" s="11" t="s">
        <v>226</v>
      </c>
      <c r="B2" s="11"/>
      <c r="C2" s="11"/>
      <c r="D2" s="11"/>
      <c r="E2" s="11"/>
      <c r="F2" s="11"/>
      <c r="G2" s="11"/>
    </row>
    <row r="3" spans="1:7" x14ac:dyDescent="0.3">
      <c r="A3" t="s">
        <v>227</v>
      </c>
    </row>
    <row r="4" spans="1:7" x14ac:dyDescent="0.3">
      <c r="A4" t="s">
        <v>228</v>
      </c>
    </row>
    <row r="5" spans="1:7" x14ac:dyDescent="0.3">
      <c r="A5" t="s">
        <v>229</v>
      </c>
    </row>
    <row r="6" spans="1:7" x14ac:dyDescent="0.3">
      <c r="A6" t="s">
        <v>230</v>
      </c>
    </row>
    <row r="7" spans="1:7" x14ac:dyDescent="0.3">
      <c r="A7" t="s">
        <v>231</v>
      </c>
    </row>
    <row r="8" spans="1:7" x14ac:dyDescent="0.3">
      <c r="A8" t="s">
        <v>232</v>
      </c>
    </row>
    <row r="9" spans="1:7" x14ac:dyDescent="0.3">
      <c r="A9" t="s">
        <v>233</v>
      </c>
    </row>
    <row r="10" spans="1:7" x14ac:dyDescent="0.3">
      <c r="A10" t="s">
        <v>234</v>
      </c>
    </row>
    <row r="11" spans="1:7" x14ac:dyDescent="0.3">
      <c r="A11" t="s">
        <v>235</v>
      </c>
    </row>
    <row r="12" spans="1:7" x14ac:dyDescent="0.3">
      <c r="A12" t="s">
        <v>236</v>
      </c>
    </row>
    <row r="13" spans="1:7" x14ac:dyDescent="0.3">
      <c r="A13" t="s">
        <v>237</v>
      </c>
    </row>
    <row r="14" spans="1:7" x14ac:dyDescent="0.3">
      <c r="A14" t="s">
        <v>238</v>
      </c>
    </row>
    <row r="15" spans="1:7" x14ac:dyDescent="0.3">
      <c r="A15" t="s">
        <v>239</v>
      </c>
    </row>
    <row r="16" spans="1:7" x14ac:dyDescent="0.3">
      <c r="A16" t="s">
        <v>240</v>
      </c>
    </row>
    <row r="17" spans="1:1" x14ac:dyDescent="0.3">
      <c r="A17" t="s">
        <v>241</v>
      </c>
    </row>
    <row r="18" spans="1:1" x14ac:dyDescent="0.3">
      <c r="A18" t="s">
        <v>242</v>
      </c>
    </row>
    <row r="19" spans="1:1" x14ac:dyDescent="0.3">
      <c r="A19" t="s">
        <v>243</v>
      </c>
    </row>
    <row r="20" spans="1:1" x14ac:dyDescent="0.3">
      <c r="A20" t="s">
        <v>244</v>
      </c>
    </row>
    <row r="21" spans="1:1" x14ac:dyDescent="0.3">
      <c r="A21" t="s">
        <v>245</v>
      </c>
    </row>
    <row r="22" spans="1:1" x14ac:dyDescent="0.3">
      <c r="A22" t="s">
        <v>246</v>
      </c>
    </row>
    <row r="23" spans="1:1" x14ac:dyDescent="0.3">
      <c r="A23" t="s">
        <v>247</v>
      </c>
    </row>
    <row r="24" spans="1:1" x14ac:dyDescent="0.3">
      <c r="A24" t="s">
        <v>248</v>
      </c>
    </row>
    <row r="25" spans="1:1" x14ac:dyDescent="0.3">
      <c r="A25" t="s">
        <v>249</v>
      </c>
    </row>
    <row r="26" spans="1:1" x14ac:dyDescent="0.3">
      <c r="A26" t="s">
        <v>250</v>
      </c>
    </row>
    <row r="27" spans="1:1" x14ac:dyDescent="0.3">
      <c r="A27" t="s">
        <v>251</v>
      </c>
    </row>
    <row r="28" spans="1:1" x14ac:dyDescent="0.3">
      <c r="A28" t="s">
        <v>252</v>
      </c>
    </row>
    <row r="29" spans="1:1" x14ac:dyDescent="0.3">
      <c r="A29" t="s">
        <v>253</v>
      </c>
    </row>
    <row r="30" spans="1:1" x14ac:dyDescent="0.3">
      <c r="A30" t="s">
        <v>254</v>
      </c>
    </row>
    <row r="31" spans="1:1" x14ac:dyDescent="0.3">
      <c r="A31" t="s">
        <v>255</v>
      </c>
    </row>
    <row r="32" spans="1:1" x14ac:dyDescent="0.3">
      <c r="A32" t="s">
        <v>256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9CE8-EBA0-4A5D-9A2E-386897693A4A}">
  <dimension ref="A1:F93"/>
  <sheetViews>
    <sheetView zoomScale="32" zoomScaleNormal="40" workbookViewId="0">
      <selection activeCell="B87" sqref="B87"/>
    </sheetView>
  </sheetViews>
  <sheetFormatPr defaultRowHeight="14.4" x14ac:dyDescent="0.3"/>
  <cols>
    <col min="1" max="1" width="10.6640625" customWidth="1"/>
    <col min="2" max="2" width="38.5546875" customWidth="1"/>
    <col min="3" max="3" width="3.33203125" customWidth="1"/>
    <col min="4" max="4" width="5.5546875" customWidth="1"/>
    <col min="5" max="5" width="11.109375" customWidth="1"/>
    <col min="6" max="6" width="11.21875" customWidth="1"/>
  </cols>
  <sheetData>
    <row r="1" spans="1:6" x14ac:dyDescent="0.3">
      <c r="A1" s="12" t="s">
        <v>0</v>
      </c>
      <c r="B1" s="12"/>
      <c r="C1" s="12"/>
      <c r="D1" s="12"/>
      <c r="E1" s="12"/>
    </row>
    <row r="2" spans="1:6" x14ac:dyDescent="0.3">
      <c r="A2" s="13" t="s">
        <v>78</v>
      </c>
      <c r="B2" s="13"/>
      <c r="C2" s="13"/>
      <c r="D2" s="13"/>
      <c r="E2" s="13"/>
      <c r="F2" s="13"/>
    </row>
    <row r="3" spans="1:6" x14ac:dyDescent="0.3">
      <c r="A3" s="2" t="s">
        <v>1</v>
      </c>
      <c r="B3" s="2" t="s">
        <v>2</v>
      </c>
      <c r="C3" s="2"/>
      <c r="D3" s="2" t="s">
        <v>3</v>
      </c>
      <c r="E3" s="2" t="s">
        <v>6</v>
      </c>
      <c r="F3" s="2" t="s">
        <v>4</v>
      </c>
    </row>
    <row r="4" spans="1:6" x14ac:dyDescent="0.3">
      <c r="A4" s="3" t="s">
        <v>81</v>
      </c>
      <c r="B4" s="1" t="s">
        <v>5</v>
      </c>
      <c r="C4" s="1" t="s">
        <v>7</v>
      </c>
      <c r="D4" s="1"/>
      <c r="E4" s="4">
        <v>200000</v>
      </c>
      <c r="F4" s="1"/>
    </row>
    <row r="5" spans="1:6" x14ac:dyDescent="0.3">
      <c r="A5" s="1"/>
      <c r="B5" s="1" t="s">
        <v>10</v>
      </c>
      <c r="C5" s="1"/>
      <c r="D5" s="1"/>
      <c r="E5" s="1"/>
      <c r="F5" s="4">
        <v>200000</v>
      </c>
    </row>
    <row r="6" spans="1:6" x14ac:dyDescent="0.3">
      <c r="A6" s="1"/>
      <c r="B6" s="1" t="s">
        <v>9</v>
      </c>
      <c r="C6" s="1"/>
      <c r="D6" s="1"/>
      <c r="E6" s="1"/>
      <c r="F6" s="1"/>
    </row>
    <row r="7" spans="1:6" x14ac:dyDescent="0.3">
      <c r="A7" s="1" t="s">
        <v>82</v>
      </c>
      <c r="B7" s="1" t="s">
        <v>11</v>
      </c>
      <c r="C7" s="1" t="s">
        <v>7</v>
      </c>
      <c r="D7" s="1"/>
      <c r="E7" s="4">
        <v>100000</v>
      </c>
      <c r="F7" s="1"/>
    </row>
    <row r="8" spans="1:6" x14ac:dyDescent="0.3">
      <c r="A8" s="1"/>
      <c r="B8" s="1" t="s">
        <v>12</v>
      </c>
      <c r="C8" s="1"/>
      <c r="D8" s="1"/>
      <c r="E8" s="1"/>
      <c r="F8" s="4">
        <v>100000</v>
      </c>
    </row>
    <row r="9" spans="1:6" x14ac:dyDescent="0.3">
      <c r="A9" s="1"/>
      <c r="B9" s="1" t="s">
        <v>13</v>
      </c>
      <c r="C9" s="1"/>
      <c r="D9" s="1"/>
      <c r="E9" s="1"/>
      <c r="F9" s="1"/>
    </row>
    <row r="10" spans="1:6" x14ac:dyDescent="0.3">
      <c r="A10" s="1" t="s">
        <v>84</v>
      </c>
      <c r="B10" s="1" t="s">
        <v>26</v>
      </c>
      <c r="C10" s="1" t="s">
        <v>7</v>
      </c>
      <c r="D10" s="1"/>
      <c r="E10" s="1"/>
      <c r="F10" s="4">
        <v>20000</v>
      </c>
    </row>
    <row r="11" spans="1:6" x14ac:dyDescent="0.3">
      <c r="A11" s="1"/>
      <c r="B11" s="1" t="s">
        <v>25</v>
      </c>
      <c r="C11" s="1"/>
      <c r="D11" s="1"/>
      <c r="E11" s="1"/>
      <c r="F11" s="1"/>
    </row>
    <row r="12" spans="1:6" x14ac:dyDescent="0.3">
      <c r="A12" s="1"/>
      <c r="B12" s="1" t="s">
        <v>14</v>
      </c>
      <c r="C12" s="1"/>
      <c r="D12" s="1"/>
      <c r="E12" s="1"/>
      <c r="F12" s="1"/>
    </row>
    <row r="13" spans="1:6" x14ac:dyDescent="0.3">
      <c r="A13" s="1" t="s">
        <v>83</v>
      </c>
      <c r="B13" s="1" t="s">
        <v>15</v>
      </c>
      <c r="C13" s="1" t="s">
        <v>7</v>
      </c>
      <c r="D13" s="1"/>
      <c r="E13" s="4">
        <v>15000</v>
      </c>
      <c r="F13" s="1"/>
    </row>
    <row r="14" spans="1:6" x14ac:dyDescent="0.3">
      <c r="A14" s="1"/>
      <c r="B14" s="1" t="s">
        <v>20</v>
      </c>
      <c r="C14" s="1"/>
      <c r="D14" s="1"/>
      <c r="E14" s="1"/>
      <c r="F14" s="4">
        <v>15000</v>
      </c>
    </row>
    <row r="15" spans="1:6" x14ac:dyDescent="0.3">
      <c r="A15" s="1"/>
      <c r="B15" s="1" t="s">
        <v>17</v>
      </c>
      <c r="C15" s="1"/>
      <c r="D15" s="1"/>
      <c r="E15" s="1"/>
      <c r="F15" s="1"/>
    </row>
    <row r="16" spans="1:6" x14ac:dyDescent="0.3">
      <c r="A16" s="1" t="s">
        <v>85</v>
      </c>
      <c r="B16" s="1" t="s">
        <v>5</v>
      </c>
      <c r="C16" s="1" t="s">
        <v>7</v>
      </c>
      <c r="D16" s="1"/>
      <c r="E16" s="4">
        <v>25000</v>
      </c>
      <c r="F16" s="1"/>
    </row>
    <row r="17" spans="1:6" x14ac:dyDescent="0.3">
      <c r="A17" s="1"/>
      <c r="B17" s="1" t="s">
        <v>21</v>
      </c>
      <c r="C17" s="1"/>
      <c r="D17" s="1"/>
      <c r="E17" s="1"/>
      <c r="F17" s="4">
        <v>25000</v>
      </c>
    </row>
    <row r="18" spans="1:6" x14ac:dyDescent="0.3">
      <c r="A18" s="1"/>
      <c r="B18" s="1" t="s">
        <v>18</v>
      </c>
      <c r="C18" s="1"/>
      <c r="D18" s="1"/>
      <c r="E18" s="1"/>
      <c r="F18" s="1"/>
    </row>
    <row r="19" spans="1:6" x14ac:dyDescent="0.3">
      <c r="A19" s="1" t="s">
        <v>86</v>
      </c>
      <c r="B19" s="1" t="s">
        <v>19</v>
      </c>
      <c r="C19" s="1" t="s">
        <v>7</v>
      </c>
      <c r="D19" s="1"/>
      <c r="E19" s="4">
        <v>18000</v>
      </c>
      <c r="F19" s="1"/>
    </row>
    <row r="20" spans="1:6" x14ac:dyDescent="0.3">
      <c r="A20" s="1"/>
      <c r="B20" s="1" t="s">
        <v>22</v>
      </c>
      <c r="C20" s="1"/>
      <c r="D20" s="1"/>
      <c r="E20" s="1"/>
      <c r="F20" s="4">
        <v>18000</v>
      </c>
    </row>
    <row r="21" spans="1:6" x14ac:dyDescent="0.3">
      <c r="A21" s="1"/>
      <c r="B21" s="1" t="s">
        <v>23</v>
      </c>
      <c r="C21" s="1"/>
      <c r="D21" s="1"/>
      <c r="E21" s="1"/>
      <c r="F21" s="1"/>
    </row>
    <row r="22" spans="1:6" x14ac:dyDescent="0.3">
      <c r="A22" s="1" t="s">
        <v>87</v>
      </c>
      <c r="B22" s="1" t="s">
        <v>24</v>
      </c>
      <c r="C22" s="1" t="s">
        <v>7</v>
      </c>
      <c r="D22" s="1"/>
      <c r="E22" s="4">
        <v>5000</v>
      </c>
      <c r="F22" s="1"/>
    </row>
    <row r="23" spans="1:6" x14ac:dyDescent="0.3">
      <c r="A23" s="1"/>
      <c r="B23" s="1" t="s">
        <v>25</v>
      </c>
      <c r="C23" s="1"/>
      <c r="D23" s="1"/>
      <c r="E23" s="1"/>
      <c r="F23" s="4">
        <v>5000</v>
      </c>
    </row>
    <row r="24" spans="1:6" x14ac:dyDescent="0.3">
      <c r="A24" s="1"/>
      <c r="B24" s="1" t="s">
        <v>27</v>
      </c>
      <c r="C24" s="1"/>
      <c r="D24" s="1"/>
      <c r="E24" s="1"/>
      <c r="F24" s="1"/>
    </row>
    <row r="25" spans="1:6" x14ac:dyDescent="0.3">
      <c r="A25" s="1" t="s">
        <v>88</v>
      </c>
      <c r="B25" s="1" t="s">
        <v>28</v>
      </c>
      <c r="C25" s="1" t="s">
        <v>7</v>
      </c>
      <c r="D25" s="1"/>
      <c r="E25" s="4">
        <v>8000</v>
      </c>
      <c r="F25" s="1"/>
    </row>
    <row r="26" spans="1:6" x14ac:dyDescent="0.3">
      <c r="A26" s="1"/>
      <c r="B26" s="1" t="s">
        <v>29</v>
      </c>
      <c r="C26" s="1"/>
      <c r="D26" s="1"/>
      <c r="E26" s="1"/>
      <c r="F26" s="4">
        <v>8000</v>
      </c>
    </row>
    <row r="27" spans="1:6" x14ac:dyDescent="0.3">
      <c r="A27" s="1"/>
      <c r="B27" s="1" t="s">
        <v>30</v>
      </c>
      <c r="C27" s="1"/>
      <c r="D27" s="1"/>
      <c r="E27" s="1"/>
      <c r="F27" s="1"/>
    </row>
    <row r="28" spans="1:6" x14ac:dyDescent="0.3">
      <c r="A28" s="1" t="s">
        <v>89</v>
      </c>
      <c r="B28" s="1" t="s">
        <v>31</v>
      </c>
      <c r="C28" s="1" t="s">
        <v>7</v>
      </c>
      <c r="D28" s="1"/>
      <c r="E28" s="4">
        <v>12000</v>
      </c>
      <c r="F28" s="1"/>
    </row>
    <row r="29" spans="1:6" x14ac:dyDescent="0.3">
      <c r="A29" s="1"/>
      <c r="B29" s="1" t="s">
        <v>12</v>
      </c>
      <c r="C29" s="1"/>
      <c r="D29" s="1"/>
      <c r="E29" s="1"/>
      <c r="F29" s="4">
        <v>12000</v>
      </c>
    </row>
    <row r="30" spans="1:6" x14ac:dyDescent="0.3">
      <c r="A30" s="1"/>
      <c r="B30" s="1" t="s">
        <v>32</v>
      </c>
      <c r="C30" s="1"/>
      <c r="D30" s="1"/>
      <c r="E30" s="1"/>
      <c r="F30" s="1"/>
    </row>
    <row r="31" spans="1:6" x14ac:dyDescent="0.3">
      <c r="A31" s="1" t="s">
        <v>90</v>
      </c>
      <c r="B31" s="1" t="s">
        <v>33</v>
      </c>
      <c r="C31" s="1" t="s">
        <v>7</v>
      </c>
      <c r="D31" s="1"/>
      <c r="E31" s="4">
        <v>2000</v>
      </c>
      <c r="F31" s="1"/>
    </row>
    <row r="32" spans="1:6" x14ac:dyDescent="0.3">
      <c r="A32" s="1"/>
      <c r="B32" s="1" t="s">
        <v>201</v>
      </c>
      <c r="C32" s="1"/>
      <c r="D32" s="1"/>
      <c r="E32" s="1"/>
      <c r="F32" s="4">
        <v>2000</v>
      </c>
    </row>
    <row r="33" spans="1:6" x14ac:dyDescent="0.3">
      <c r="A33" s="1"/>
      <c r="B33" s="1" t="s">
        <v>34</v>
      </c>
      <c r="C33" s="1"/>
      <c r="D33" s="1"/>
      <c r="E33" s="1"/>
      <c r="F33" s="1"/>
    </row>
    <row r="34" spans="1:6" x14ac:dyDescent="0.3">
      <c r="A34" s="1" t="s">
        <v>91</v>
      </c>
      <c r="B34" s="1" t="s">
        <v>5</v>
      </c>
      <c r="C34" s="1" t="s">
        <v>7</v>
      </c>
      <c r="D34" s="1"/>
      <c r="E34" s="4">
        <v>10000</v>
      </c>
      <c r="F34" s="1"/>
    </row>
    <row r="35" spans="1:6" x14ac:dyDescent="0.3">
      <c r="A35" s="1"/>
      <c r="B35" s="1" t="s">
        <v>35</v>
      </c>
      <c r="C35" s="1"/>
      <c r="D35" s="1"/>
      <c r="E35" s="1"/>
      <c r="F35" s="4">
        <v>10000</v>
      </c>
    </row>
    <row r="36" spans="1:6" x14ac:dyDescent="0.3">
      <c r="A36" s="1"/>
      <c r="B36" s="1" t="s">
        <v>36</v>
      </c>
      <c r="C36" s="1"/>
      <c r="D36" s="1"/>
      <c r="E36" s="1"/>
      <c r="F36" s="1"/>
    </row>
    <row r="37" spans="1:6" x14ac:dyDescent="0.3">
      <c r="A37" s="1" t="s">
        <v>92</v>
      </c>
      <c r="B37" s="1" t="s">
        <v>16</v>
      </c>
      <c r="C37" s="1" t="s">
        <v>7</v>
      </c>
      <c r="D37" s="1"/>
      <c r="E37" s="4">
        <v>12000</v>
      </c>
      <c r="F37" s="1"/>
    </row>
    <row r="38" spans="1:6" x14ac:dyDescent="0.3">
      <c r="A38" s="1"/>
      <c r="B38" s="1" t="s">
        <v>37</v>
      </c>
      <c r="C38" s="1"/>
      <c r="D38" s="1"/>
      <c r="E38" s="1"/>
      <c r="F38" s="4">
        <v>12000</v>
      </c>
    </row>
    <row r="39" spans="1:6" x14ac:dyDescent="0.3">
      <c r="A39" s="1"/>
      <c r="B39" s="1" t="s">
        <v>38</v>
      </c>
      <c r="C39" s="1"/>
      <c r="D39" s="1"/>
      <c r="E39" s="1"/>
      <c r="F39" s="1"/>
    </row>
    <row r="40" spans="1:6" x14ac:dyDescent="0.3">
      <c r="A40" s="1" t="s">
        <v>93</v>
      </c>
      <c r="B40" s="1" t="s">
        <v>39</v>
      </c>
      <c r="C40" s="1" t="s">
        <v>7</v>
      </c>
      <c r="D40" s="1"/>
      <c r="E40" s="4">
        <v>1500</v>
      </c>
      <c r="F40" s="1"/>
    </row>
    <row r="41" spans="1:6" x14ac:dyDescent="0.3">
      <c r="A41" s="1"/>
      <c r="B41" s="1" t="s">
        <v>40</v>
      </c>
      <c r="C41" s="1"/>
      <c r="D41" s="1"/>
      <c r="E41" s="1"/>
      <c r="F41" s="4">
        <v>1500</v>
      </c>
    </row>
    <row r="42" spans="1:6" x14ac:dyDescent="0.3">
      <c r="A42" s="1"/>
      <c r="B42" s="1" t="s">
        <v>41</v>
      </c>
      <c r="C42" s="1"/>
      <c r="D42" s="1"/>
      <c r="E42" s="1"/>
      <c r="F42" s="1"/>
    </row>
    <row r="43" spans="1:6" x14ac:dyDescent="0.3">
      <c r="A43" s="1" t="s">
        <v>94</v>
      </c>
      <c r="B43" s="1" t="s">
        <v>42</v>
      </c>
      <c r="C43" s="1" t="s">
        <v>7</v>
      </c>
      <c r="D43" s="1"/>
      <c r="E43" s="4">
        <v>2500</v>
      </c>
      <c r="F43" s="1"/>
    </row>
    <row r="44" spans="1:6" x14ac:dyDescent="0.3">
      <c r="A44" s="1"/>
      <c r="B44" s="1" t="s">
        <v>203</v>
      </c>
      <c r="C44" s="1"/>
      <c r="D44" s="1"/>
      <c r="E44" s="1"/>
      <c r="F44" s="4">
        <v>2500</v>
      </c>
    </row>
    <row r="45" spans="1:6" x14ac:dyDescent="0.3">
      <c r="A45" s="1"/>
      <c r="B45" s="1" t="s">
        <v>61</v>
      </c>
      <c r="C45" s="1"/>
      <c r="D45" s="1"/>
      <c r="E45" s="1"/>
      <c r="F45" s="1"/>
    </row>
    <row r="46" spans="1:6" x14ac:dyDescent="0.3">
      <c r="A46" s="1" t="s">
        <v>95</v>
      </c>
      <c r="B46" s="1" t="s">
        <v>205</v>
      </c>
      <c r="C46" s="1" t="s">
        <v>7</v>
      </c>
      <c r="D46" s="1"/>
      <c r="E46" s="4">
        <v>3000</v>
      </c>
      <c r="F46" s="1"/>
    </row>
    <row r="47" spans="1:6" x14ac:dyDescent="0.3">
      <c r="A47" s="1"/>
      <c r="B47" s="1" t="s">
        <v>43</v>
      </c>
      <c r="C47" s="1"/>
      <c r="D47" s="1"/>
      <c r="E47" s="1"/>
      <c r="F47" s="4">
        <v>3000</v>
      </c>
    </row>
    <row r="48" spans="1:6" x14ac:dyDescent="0.3">
      <c r="A48" s="1"/>
      <c r="B48" s="1" t="s">
        <v>62</v>
      </c>
      <c r="C48" s="1"/>
      <c r="D48" s="1"/>
      <c r="E48" s="1"/>
      <c r="F48" s="1"/>
    </row>
    <row r="49" spans="1:6" x14ac:dyDescent="0.3">
      <c r="A49" s="1" t="s">
        <v>96</v>
      </c>
      <c r="B49" s="1" t="s">
        <v>44</v>
      </c>
      <c r="C49" s="1" t="s">
        <v>7</v>
      </c>
      <c r="D49" s="1"/>
      <c r="E49" s="4">
        <v>5000</v>
      </c>
      <c r="F49" s="1"/>
    </row>
    <row r="50" spans="1:6" x14ac:dyDescent="0.3">
      <c r="A50" s="1"/>
      <c r="B50" s="1" t="s">
        <v>25</v>
      </c>
      <c r="C50" s="1"/>
      <c r="D50" s="1"/>
      <c r="E50" s="1"/>
      <c r="F50" s="4">
        <v>5000</v>
      </c>
    </row>
    <row r="51" spans="1:6" x14ac:dyDescent="0.3">
      <c r="A51" s="1"/>
      <c r="B51" s="1" t="s">
        <v>63</v>
      </c>
      <c r="C51" s="1"/>
      <c r="D51" s="1"/>
      <c r="E51" s="1"/>
      <c r="F51" s="1"/>
    </row>
    <row r="52" spans="1:6" x14ac:dyDescent="0.3">
      <c r="A52" s="1" t="s">
        <v>97</v>
      </c>
      <c r="B52" s="1" t="s">
        <v>15</v>
      </c>
      <c r="C52" s="1" t="s">
        <v>7</v>
      </c>
      <c r="D52" s="1"/>
      <c r="E52" s="4">
        <v>10000</v>
      </c>
      <c r="F52" s="1"/>
    </row>
    <row r="53" spans="1:6" x14ac:dyDescent="0.3">
      <c r="A53" s="1"/>
      <c r="B53" s="1" t="s">
        <v>45</v>
      </c>
      <c r="C53" s="1"/>
      <c r="D53" s="1"/>
      <c r="E53" s="1"/>
      <c r="F53" s="4">
        <v>10000</v>
      </c>
    </row>
    <row r="54" spans="1:6" x14ac:dyDescent="0.3">
      <c r="A54" s="1"/>
      <c r="B54" s="1" t="s">
        <v>64</v>
      </c>
      <c r="C54" s="1"/>
      <c r="D54" s="1"/>
      <c r="E54" s="1"/>
      <c r="F54" s="1"/>
    </row>
    <row r="55" spans="1:6" x14ac:dyDescent="0.3">
      <c r="A55" s="1" t="s">
        <v>98</v>
      </c>
      <c r="B55" s="1" t="s">
        <v>46</v>
      </c>
      <c r="C55" s="1" t="s">
        <v>7</v>
      </c>
      <c r="D55" s="1"/>
      <c r="E55" s="4">
        <v>14000</v>
      </c>
      <c r="F55" s="1"/>
    </row>
    <row r="56" spans="1:6" x14ac:dyDescent="0.3">
      <c r="A56" s="1"/>
      <c r="B56" s="1" t="s">
        <v>47</v>
      </c>
      <c r="C56" s="1"/>
      <c r="D56" s="1"/>
      <c r="E56" s="1"/>
      <c r="F56" s="4">
        <v>14000</v>
      </c>
    </row>
    <row r="57" spans="1:6" x14ac:dyDescent="0.3">
      <c r="A57" s="1"/>
      <c r="B57" s="1" t="s">
        <v>65</v>
      </c>
      <c r="C57" s="1"/>
      <c r="D57" s="1"/>
      <c r="E57" s="1"/>
      <c r="F57" s="1"/>
    </row>
    <row r="58" spans="1:6" x14ac:dyDescent="0.3">
      <c r="A58" s="1" t="s">
        <v>99</v>
      </c>
      <c r="B58" s="1" t="s">
        <v>48</v>
      </c>
      <c r="C58" s="1" t="s">
        <v>7</v>
      </c>
      <c r="D58" s="1"/>
      <c r="E58" s="4">
        <v>8000</v>
      </c>
      <c r="F58" s="1"/>
    </row>
    <row r="59" spans="1:6" x14ac:dyDescent="0.3">
      <c r="A59" s="1"/>
      <c r="B59" s="1" t="s">
        <v>49</v>
      </c>
      <c r="C59" s="1"/>
      <c r="D59" s="1"/>
      <c r="E59" s="1"/>
      <c r="F59" s="4">
        <v>8000</v>
      </c>
    </row>
    <row r="60" spans="1:6" x14ac:dyDescent="0.3">
      <c r="A60" s="1"/>
      <c r="B60" s="1" t="s">
        <v>66</v>
      </c>
      <c r="C60" s="1"/>
      <c r="D60" s="1"/>
      <c r="E60" s="1"/>
      <c r="F60" s="1"/>
    </row>
    <row r="61" spans="1:6" x14ac:dyDescent="0.3">
      <c r="A61" s="1" t="s">
        <v>100</v>
      </c>
      <c r="B61" s="1" t="s">
        <v>50</v>
      </c>
      <c r="C61" s="1" t="s">
        <v>7</v>
      </c>
      <c r="D61" s="1"/>
      <c r="E61" s="4">
        <v>1200</v>
      </c>
      <c r="F61" s="1"/>
    </row>
    <row r="62" spans="1:6" x14ac:dyDescent="0.3">
      <c r="A62" s="1"/>
      <c r="B62" s="1" t="s">
        <v>25</v>
      </c>
      <c r="C62" s="1"/>
      <c r="D62" s="1"/>
      <c r="E62" s="1"/>
      <c r="F62" s="4">
        <v>1200</v>
      </c>
    </row>
    <row r="63" spans="1:6" x14ac:dyDescent="0.3">
      <c r="A63" s="1"/>
      <c r="B63" s="1" t="s">
        <v>67</v>
      </c>
      <c r="C63" s="1"/>
      <c r="D63" s="1"/>
      <c r="E63" s="1"/>
      <c r="F63" s="1"/>
    </row>
    <row r="64" spans="1:6" x14ac:dyDescent="0.3">
      <c r="A64" s="1" t="s">
        <v>101</v>
      </c>
      <c r="B64" s="1" t="s">
        <v>51</v>
      </c>
      <c r="C64" s="1" t="s">
        <v>7</v>
      </c>
      <c r="D64" s="1"/>
      <c r="E64" s="4">
        <v>1000</v>
      </c>
      <c r="F64" s="1"/>
    </row>
    <row r="65" spans="1:6" x14ac:dyDescent="0.3">
      <c r="A65" s="1"/>
      <c r="B65" s="1" t="s">
        <v>52</v>
      </c>
      <c r="C65" s="1"/>
      <c r="D65" s="1"/>
      <c r="E65" s="1"/>
      <c r="F65" s="4">
        <v>1000</v>
      </c>
    </row>
    <row r="66" spans="1:6" x14ac:dyDescent="0.3">
      <c r="A66" s="1"/>
      <c r="B66" s="1" t="s">
        <v>68</v>
      </c>
      <c r="C66" s="1"/>
      <c r="D66" s="1"/>
      <c r="E66" s="1"/>
      <c r="F66" s="1"/>
    </row>
    <row r="67" spans="1:6" x14ac:dyDescent="0.3">
      <c r="A67" s="1" t="s">
        <v>102</v>
      </c>
      <c r="B67" s="1" t="s">
        <v>53</v>
      </c>
      <c r="C67" s="1" t="s">
        <v>7</v>
      </c>
      <c r="D67" s="1"/>
      <c r="E67" s="4">
        <v>2000</v>
      </c>
      <c r="F67" s="1"/>
    </row>
    <row r="68" spans="1:6" x14ac:dyDescent="0.3">
      <c r="A68" s="1"/>
      <c r="B68" s="1" t="s">
        <v>35</v>
      </c>
      <c r="C68" s="1"/>
      <c r="D68" s="1"/>
      <c r="E68" s="1"/>
      <c r="F68" s="4">
        <v>2000</v>
      </c>
    </row>
    <row r="69" spans="1:6" x14ac:dyDescent="0.3">
      <c r="A69" s="1"/>
      <c r="B69" s="1" t="s">
        <v>69</v>
      </c>
      <c r="C69" s="1"/>
      <c r="D69" s="1"/>
      <c r="E69" s="1"/>
      <c r="F69" s="1"/>
    </row>
    <row r="70" spans="1:6" x14ac:dyDescent="0.3">
      <c r="A70" s="1" t="s">
        <v>103</v>
      </c>
      <c r="B70" s="1" t="s">
        <v>54</v>
      </c>
      <c r="C70" s="1" t="s">
        <v>7</v>
      </c>
      <c r="D70" s="1"/>
      <c r="E70" s="1">
        <v>800</v>
      </c>
      <c r="F70" s="1"/>
    </row>
    <row r="71" spans="1:6" x14ac:dyDescent="0.3">
      <c r="A71" s="1"/>
      <c r="B71" s="1" t="s">
        <v>55</v>
      </c>
      <c r="C71" s="1"/>
      <c r="D71" s="1"/>
      <c r="E71" s="1"/>
      <c r="F71" s="1">
        <v>800</v>
      </c>
    </row>
    <row r="72" spans="1:6" x14ac:dyDescent="0.3">
      <c r="A72" s="1"/>
      <c r="B72" s="1" t="s">
        <v>70</v>
      </c>
      <c r="C72" s="1"/>
      <c r="D72" s="1"/>
      <c r="E72" s="1"/>
      <c r="F72" s="1"/>
    </row>
    <row r="73" spans="1:6" x14ac:dyDescent="0.3">
      <c r="A73" s="1" t="s">
        <v>104</v>
      </c>
      <c r="B73" s="1" t="s">
        <v>56</v>
      </c>
      <c r="C73" s="1" t="s">
        <v>7</v>
      </c>
      <c r="D73" s="1"/>
      <c r="E73" s="4">
        <v>1000</v>
      </c>
      <c r="F73" s="1"/>
    </row>
    <row r="74" spans="1:6" x14ac:dyDescent="0.3">
      <c r="A74" s="1"/>
      <c r="B74" s="1" t="s">
        <v>25</v>
      </c>
      <c r="C74" s="1"/>
      <c r="D74" s="1"/>
      <c r="E74" s="1"/>
      <c r="F74" s="4">
        <v>1000</v>
      </c>
    </row>
    <row r="75" spans="1:6" x14ac:dyDescent="0.3">
      <c r="A75" s="1"/>
      <c r="B75" s="1" t="s">
        <v>71</v>
      </c>
      <c r="C75" s="1"/>
      <c r="D75" s="1"/>
      <c r="E75" s="1"/>
      <c r="F75" s="1"/>
    </row>
    <row r="76" spans="1:6" x14ac:dyDescent="0.3">
      <c r="A76" s="1" t="s">
        <v>105</v>
      </c>
      <c r="B76" s="1" t="s">
        <v>57</v>
      </c>
      <c r="C76" s="1" t="s">
        <v>7</v>
      </c>
      <c r="D76" s="1"/>
      <c r="E76" s="4">
        <v>30000</v>
      </c>
      <c r="F76" s="1"/>
    </row>
    <row r="77" spans="1:6" x14ac:dyDescent="0.3">
      <c r="A77" s="1"/>
      <c r="B77" s="1" t="s">
        <v>25</v>
      </c>
      <c r="C77" s="1"/>
      <c r="D77" s="1"/>
      <c r="E77" s="1"/>
      <c r="F77" s="4">
        <v>30000</v>
      </c>
    </row>
    <row r="78" spans="1:6" x14ac:dyDescent="0.3">
      <c r="A78" s="1"/>
      <c r="B78" s="1" t="s">
        <v>72</v>
      </c>
      <c r="C78" s="1"/>
      <c r="D78" s="1"/>
      <c r="E78" s="1"/>
      <c r="F78" s="1"/>
    </row>
    <row r="79" spans="1:6" x14ac:dyDescent="0.3">
      <c r="A79" s="1" t="s">
        <v>106</v>
      </c>
      <c r="B79" s="1" t="s">
        <v>58</v>
      </c>
      <c r="C79" s="1" t="s">
        <v>7</v>
      </c>
      <c r="D79" s="1"/>
      <c r="E79" s="4">
        <v>2500</v>
      </c>
      <c r="F79" s="1"/>
    </row>
    <row r="80" spans="1:6" x14ac:dyDescent="0.3">
      <c r="A80" s="1"/>
      <c r="B80" s="1" t="s">
        <v>25</v>
      </c>
      <c r="C80" s="1"/>
      <c r="D80" s="1"/>
      <c r="E80" s="1"/>
      <c r="F80" s="4">
        <v>2500</v>
      </c>
    </row>
    <row r="81" spans="1:6" x14ac:dyDescent="0.3">
      <c r="A81" s="1"/>
      <c r="B81" s="1" t="s">
        <v>73</v>
      </c>
      <c r="C81" s="1"/>
      <c r="D81" s="1"/>
      <c r="E81" s="1"/>
      <c r="F81" s="1"/>
    </row>
    <row r="82" spans="1:6" x14ac:dyDescent="0.3">
      <c r="A82" s="1" t="s">
        <v>107</v>
      </c>
      <c r="B82" s="1" t="s">
        <v>48</v>
      </c>
      <c r="C82" s="1" t="s">
        <v>7</v>
      </c>
      <c r="D82" s="1"/>
      <c r="E82" s="4">
        <v>15000</v>
      </c>
      <c r="F82" s="1"/>
    </row>
    <row r="83" spans="1:6" x14ac:dyDescent="0.3">
      <c r="A83" s="1"/>
      <c r="B83" s="1" t="s">
        <v>47</v>
      </c>
      <c r="C83" s="1"/>
      <c r="D83" s="1"/>
      <c r="E83" s="1"/>
      <c r="F83" s="4">
        <v>15000</v>
      </c>
    </row>
    <row r="84" spans="1:6" x14ac:dyDescent="0.3">
      <c r="A84" s="1"/>
      <c r="B84" s="1" t="s">
        <v>74</v>
      </c>
      <c r="C84" s="1"/>
      <c r="D84" s="1"/>
      <c r="E84" s="1"/>
      <c r="F84" s="1"/>
    </row>
    <row r="85" spans="1:6" x14ac:dyDescent="0.3">
      <c r="A85" s="1" t="s">
        <v>108</v>
      </c>
      <c r="B85" s="1" t="s">
        <v>59</v>
      </c>
      <c r="C85" s="1" t="s">
        <v>7</v>
      </c>
      <c r="D85" s="1"/>
      <c r="E85" s="4">
        <v>4000</v>
      </c>
      <c r="F85" s="1"/>
    </row>
    <row r="86" spans="1:6" x14ac:dyDescent="0.3">
      <c r="A86" s="1"/>
      <c r="B86" s="1" t="s">
        <v>25</v>
      </c>
      <c r="C86" s="1"/>
      <c r="D86" s="1"/>
      <c r="E86" s="1"/>
      <c r="F86" s="4">
        <v>4000</v>
      </c>
    </row>
    <row r="87" spans="1:6" x14ac:dyDescent="0.3">
      <c r="A87" s="1"/>
      <c r="B87" s="1" t="s">
        <v>75</v>
      </c>
      <c r="C87" s="1"/>
      <c r="D87" s="1"/>
      <c r="E87" s="1"/>
      <c r="F87" s="1"/>
    </row>
    <row r="88" spans="1:6" x14ac:dyDescent="0.3">
      <c r="A88" s="1" t="s">
        <v>109</v>
      </c>
      <c r="B88" s="1" t="s">
        <v>60</v>
      </c>
      <c r="C88" s="1" t="s">
        <v>7</v>
      </c>
      <c r="D88" s="1"/>
      <c r="E88" s="4">
        <v>3000</v>
      </c>
      <c r="F88" s="1"/>
    </row>
    <row r="89" spans="1:6" x14ac:dyDescent="0.3">
      <c r="A89" s="1"/>
      <c r="B89" s="1" t="s">
        <v>25</v>
      </c>
      <c r="C89" s="1"/>
      <c r="D89" s="1"/>
      <c r="E89" s="1"/>
      <c r="F89" s="4">
        <v>3000</v>
      </c>
    </row>
    <row r="90" spans="1:6" x14ac:dyDescent="0.3">
      <c r="A90" s="1"/>
      <c r="B90" s="1" t="s">
        <v>76</v>
      </c>
      <c r="C90" s="1"/>
      <c r="D90" s="1"/>
      <c r="E90" s="1"/>
      <c r="F90" s="1"/>
    </row>
    <row r="91" spans="1:6" x14ac:dyDescent="0.3">
      <c r="A91" s="1" t="s">
        <v>110</v>
      </c>
      <c r="B91" s="1" t="s">
        <v>11</v>
      </c>
      <c r="C91" s="1" t="s">
        <v>7</v>
      </c>
      <c r="D91" s="1"/>
      <c r="E91" s="4">
        <v>20000</v>
      </c>
      <c r="F91" s="1"/>
    </row>
    <row r="92" spans="1:6" x14ac:dyDescent="0.3">
      <c r="A92" s="1"/>
      <c r="B92" s="1" t="s">
        <v>25</v>
      </c>
      <c r="C92" s="1"/>
      <c r="D92" s="1"/>
      <c r="E92" s="1"/>
      <c r="F92" s="4">
        <v>20000</v>
      </c>
    </row>
    <row r="93" spans="1:6" x14ac:dyDescent="0.3">
      <c r="A93" s="1"/>
      <c r="B93" s="1" t="s">
        <v>77</v>
      </c>
      <c r="C93" s="1"/>
      <c r="D93" s="1"/>
      <c r="E93" s="1"/>
      <c r="F93" s="1"/>
    </row>
  </sheetData>
  <mergeCells count="2">
    <mergeCell ref="A1:E1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4D8C-0BE3-411B-A438-D8D8041E866D}">
  <dimension ref="A1:H184"/>
  <sheetViews>
    <sheetView topLeftCell="A50" zoomScale="140" workbookViewId="0">
      <selection activeCell="D37" sqref="D37"/>
    </sheetView>
  </sheetViews>
  <sheetFormatPr defaultRowHeight="14.4" x14ac:dyDescent="0.3"/>
  <cols>
    <col min="1" max="1" width="10.5546875" customWidth="1"/>
    <col min="2" max="2" width="26.109375" customWidth="1"/>
    <col min="3" max="3" width="6" customWidth="1"/>
    <col min="4" max="4" width="14.44140625" customWidth="1"/>
    <col min="5" max="5" width="10.44140625" customWidth="1"/>
    <col min="6" max="6" width="26.77734375" customWidth="1"/>
    <col min="7" max="7" width="5.21875" customWidth="1"/>
    <col min="8" max="8" width="13.33203125" customWidth="1"/>
  </cols>
  <sheetData>
    <row r="1" spans="1:8" x14ac:dyDescent="0.3">
      <c r="A1" s="15" t="s">
        <v>79</v>
      </c>
      <c r="B1" s="15"/>
      <c r="C1" s="15"/>
      <c r="D1" s="15"/>
      <c r="E1" s="15"/>
      <c r="F1" s="15"/>
      <c r="G1" s="15"/>
      <c r="H1" s="15"/>
    </row>
    <row r="2" spans="1:8" x14ac:dyDescent="0.3">
      <c r="A2" s="13" t="s">
        <v>80</v>
      </c>
      <c r="B2" s="13"/>
      <c r="C2" s="13"/>
      <c r="D2" s="13"/>
      <c r="E2" s="13"/>
      <c r="F2" s="13"/>
      <c r="G2" s="13"/>
      <c r="H2" s="13"/>
    </row>
    <row r="3" spans="1:8" x14ac:dyDescent="0.3">
      <c r="A3" s="2" t="s">
        <v>1</v>
      </c>
      <c r="B3" s="2" t="s">
        <v>2</v>
      </c>
      <c r="C3" s="2" t="s">
        <v>112</v>
      </c>
      <c r="D3" s="2" t="s">
        <v>111</v>
      </c>
      <c r="E3" s="2" t="s">
        <v>1</v>
      </c>
      <c r="F3" s="2" t="s">
        <v>2</v>
      </c>
      <c r="G3" s="2" t="s">
        <v>112</v>
      </c>
      <c r="H3" s="2" t="s">
        <v>111</v>
      </c>
    </row>
    <row r="4" spans="1:8" x14ac:dyDescent="0.3">
      <c r="A4" s="1" t="s">
        <v>114</v>
      </c>
      <c r="B4" s="1" t="s">
        <v>115</v>
      </c>
      <c r="C4" s="1"/>
      <c r="D4" s="5">
        <v>200000</v>
      </c>
      <c r="E4" s="1" t="s">
        <v>81</v>
      </c>
      <c r="F4" s="1" t="s">
        <v>113</v>
      </c>
      <c r="G4" s="1"/>
      <c r="H4" s="4">
        <v>200000</v>
      </c>
    </row>
    <row r="5" spans="1:8" x14ac:dyDescent="0.3">
      <c r="A5" s="1"/>
      <c r="B5" s="1"/>
      <c r="C5" s="1"/>
      <c r="D5" s="5">
        <v>200000</v>
      </c>
      <c r="E5" s="1"/>
      <c r="F5" s="1"/>
      <c r="G5" s="1"/>
      <c r="H5" s="5">
        <v>200000</v>
      </c>
    </row>
    <row r="6" spans="1:8" x14ac:dyDescent="0.3">
      <c r="A6" s="1"/>
      <c r="B6" s="1"/>
      <c r="C6" s="1"/>
      <c r="D6" s="1"/>
      <c r="E6" s="1" t="s">
        <v>8</v>
      </c>
      <c r="F6" s="1" t="s">
        <v>116</v>
      </c>
      <c r="G6" s="1"/>
      <c r="H6" s="5">
        <v>200000</v>
      </c>
    </row>
    <row r="8" spans="1:8" x14ac:dyDescent="0.3">
      <c r="A8" s="14" t="s">
        <v>48</v>
      </c>
      <c r="B8" s="14"/>
      <c r="C8" s="14"/>
      <c r="D8" s="14"/>
      <c r="E8" s="14"/>
      <c r="F8" s="14"/>
      <c r="G8" s="14"/>
      <c r="H8" s="14"/>
    </row>
    <row r="9" spans="1:8" x14ac:dyDescent="0.3">
      <c r="A9" s="2" t="s">
        <v>1</v>
      </c>
      <c r="B9" s="2" t="s">
        <v>2</v>
      </c>
      <c r="C9" s="2" t="s">
        <v>112</v>
      </c>
      <c r="D9" s="2" t="s">
        <v>111</v>
      </c>
      <c r="E9" s="2" t="s">
        <v>117</v>
      </c>
      <c r="F9" s="2" t="s">
        <v>2</v>
      </c>
      <c r="G9" s="2" t="s">
        <v>112</v>
      </c>
      <c r="H9" s="2" t="s">
        <v>111</v>
      </c>
    </row>
    <row r="10" spans="1:8" x14ac:dyDescent="0.3">
      <c r="A10" s="1" t="s">
        <v>81</v>
      </c>
      <c r="B10" s="1" t="s">
        <v>118</v>
      </c>
      <c r="C10" s="1"/>
      <c r="D10" s="4">
        <v>200000</v>
      </c>
      <c r="E10" s="1" t="s">
        <v>82</v>
      </c>
      <c r="F10" s="1" t="s">
        <v>119</v>
      </c>
      <c r="G10" s="1"/>
      <c r="H10" s="4">
        <v>100000</v>
      </c>
    </row>
    <row r="11" spans="1:8" x14ac:dyDescent="0.3">
      <c r="A11" s="1" t="s">
        <v>85</v>
      </c>
      <c r="B11" s="1" t="s">
        <v>121</v>
      </c>
      <c r="C11" s="1"/>
      <c r="D11" s="4">
        <v>25000</v>
      </c>
      <c r="E11" s="1" t="s">
        <v>84</v>
      </c>
      <c r="F11" s="1" t="s">
        <v>120</v>
      </c>
      <c r="G11" s="1"/>
      <c r="H11" s="4">
        <v>20000</v>
      </c>
    </row>
    <row r="12" spans="1:8" x14ac:dyDescent="0.3">
      <c r="A12" s="1" t="s">
        <v>91</v>
      </c>
      <c r="B12" s="1" t="s">
        <v>35</v>
      </c>
      <c r="C12" s="1"/>
      <c r="D12" s="4">
        <v>10000</v>
      </c>
      <c r="E12" s="1" t="s">
        <v>87</v>
      </c>
      <c r="F12" s="1" t="s">
        <v>122</v>
      </c>
      <c r="G12" s="1"/>
      <c r="H12" s="4">
        <v>5000</v>
      </c>
    </row>
    <row r="13" spans="1:8" x14ac:dyDescent="0.3">
      <c r="A13" s="1" t="s">
        <v>95</v>
      </c>
      <c r="B13" s="1" t="s">
        <v>134</v>
      </c>
      <c r="C13" s="1"/>
      <c r="D13" s="4">
        <v>3000</v>
      </c>
      <c r="E13" s="1" t="s">
        <v>88</v>
      </c>
      <c r="F13" s="1" t="s">
        <v>123</v>
      </c>
      <c r="G13" s="1"/>
      <c r="H13" s="4">
        <v>8000</v>
      </c>
    </row>
    <row r="14" spans="1:8" x14ac:dyDescent="0.3">
      <c r="A14" s="1" t="s">
        <v>99</v>
      </c>
      <c r="B14" s="1" t="s">
        <v>127</v>
      </c>
      <c r="C14" s="1"/>
      <c r="D14" s="4">
        <v>8000</v>
      </c>
      <c r="E14" s="1" t="s">
        <v>89</v>
      </c>
      <c r="F14" s="1" t="s">
        <v>124</v>
      </c>
      <c r="G14" s="1"/>
      <c r="H14" s="4">
        <v>12000</v>
      </c>
    </row>
    <row r="15" spans="1:8" x14ac:dyDescent="0.3">
      <c r="A15" s="1" t="s">
        <v>107</v>
      </c>
      <c r="B15" s="1" t="s">
        <v>121</v>
      </c>
      <c r="C15" s="1"/>
      <c r="D15" s="4">
        <v>15000</v>
      </c>
      <c r="E15" s="1" t="s">
        <v>90</v>
      </c>
      <c r="F15" s="1" t="s">
        <v>132</v>
      </c>
      <c r="G15" s="1"/>
      <c r="H15" s="4">
        <v>2000</v>
      </c>
    </row>
    <row r="16" spans="1:8" x14ac:dyDescent="0.3">
      <c r="A16" s="1"/>
      <c r="B16" s="1"/>
      <c r="C16" s="1"/>
      <c r="D16" s="1"/>
      <c r="E16" s="1" t="s">
        <v>93</v>
      </c>
      <c r="F16" s="1" t="s">
        <v>125</v>
      </c>
      <c r="G16" s="1"/>
      <c r="H16" s="4">
        <v>1500</v>
      </c>
    </row>
    <row r="17" spans="1:8" x14ac:dyDescent="0.3">
      <c r="A17" s="1"/>
      <c r="B17" s="1"/>
      <c r="C17" s="1"/>
      <c r="D17" s="1"/>
      <c r="E17" s="1" t="s">
        <v>94</v>
      </c>
      <c r="F17" s="1" t="s">
        <v>204</v>
      </c>
      <c r="G17" s="1"/>
      <c r="H17" s="4">
        <v>2500</v>
      </c>
    </row>
    <row r="18" spans="1:8" x14ac:dyDescent="0.3">
      <c r="A18" s="1"/>
      <c r="B18" s="1"/>
      <c r="C18" s="1"/>
      <c r="D18" s="1"/>
      <c r="E18" s="1" t="s">
        <v>96</v>
      </c>
      <c r="F18" s="1" t="s">
        <v>126</v>
      </c>
      <c r="G18" s="1"/>
      <c r="H18" s="4">
        <v>5000</v>
      </c>
    </row>
    <row r="19" spans="1:8" x14ac:dyDescent="0.3">
      <c r="A19" s="1"/>
      <c r="B19" s="1"/>
      <c r="C19" s="1"/>
      <c r="D19" s="1"/>
      <c r="E19" s="1" t="s">
        <v>100</v>
      </c>
      <c r="F19" s="1" t="s">
        <v>135</v>
      </c>
      <c r="G19" s="1"/>
      <c r="H19" s="4">
        <v>1200</v>
      </c>
    </row>
    <row r="20" spans="1:8" x14ac:dyDescent="0.3">
      <c r="A20" s="1"/>
      <c r="B20" s="1"/>
      <c r="C20" s="1"/>
      <c r="D20" s="1"/>
      <c r="E20" s="1" t="s">
        <v>104</v>
      </c>
      <c r="F20" s="1" t="s">
        <v>136</v>
      </c>
      <c r="G20" s="1"/>
      <c r="H20" s="4">
        <v>1000</v>
      </c>
    </row>
    <row r="21" spans="1:8" x14ac:dyDescent="0.3">
      <c r="A21" s="1"/>
      <c r="B21" s="1"/>
      <c r="C21" s="1"/>
      <c r="D21" s="1"/>
      <c r="E21" s="1" t="s">
        <v>105</v>
      </c>
      <c r="F21" s="1" t="s">
        <v>128</v>
      </c>
      <c r="G21" s="1"/>
      <c r="H21" s="4">
        <v>30000</v>
      </c>
    </row>
    <row r="22" spans="1:8" x14ac:dyDescent="0.3">
      <c r="A22" s="1"/>
      <c r="B22" s="1"/>
      <c r="C22" s="1"/>
      <c r="D22" s="1"/>
      <c r="E22" s="1" t="s">
        <v>106</v>
      </c>
      <c r="F22" s="1" t="s">
        <v>137</v>
      </c>
      <c r="G22" s="1"/>
      <c r="H22" s="4">
        <v>2500</v>
      </c>
    </row>
    <row r="23" spans="1:8" x14ac:dyDescent="0.3">
      <c r="A23" s="1"/>
      <c r="B23" s="1"/>
      <c r="C23" s="1"/>
      <c r="D23" s="1"/>
      <c r="E23" s="1" t="s">
        <v>108</v>
      </c>
      <c r="F23" s="1" t="s">
        <v>129</v>
      </c>
      <c r="G23" s="1"/>
      <c r="H23" s="4">
        <v>4000</v>
      </c>
    </row>
    <row r="24" spans="1:8" x14ac:dyDescent="0.3">
      <c r="A24" s="1"/>
      <c r="B24" s="1"/>
      <c r="C24" s="1"/>
      <c r="D24" s="1"/>
      <c r="E24" s="1" t="s">
        <v>109</v>
      </c>
      <c r="F24" s="1" t="s">
        <v>138</v>
      </c>
      <c r="G24" s="1"/>
      <c r="H24" s="4">
        <v>3000</v>
      </c>
    </row>
    <row r="25" spans="1:8" x14ac:dyDescent="0.3">
      <c r="A25" s="1"/>
      <c r="B25" s="1"/>
      <c r="C25" s="1"/>
      <c r="D25" s="1"/>
      <c r="E25" s="1" t="s">
        <v>110</v>
      </c>
      <c r="F25" s="1" t="s">
        <v>119</v>
      </c>
      <c r="G25" s="1"/>
      <c r="H25" s="4">
        <v>20000</v>
      </c>
    </row>
    <row r="26" spans="1:8" x14ac:dyDescent="0.3">
      <c r="A26" s="1"/>
      <c r="B26" s="1"/>
      <c r="C26" s="1"/>
      <c r="D26" s="1"/>
      <c r="E26" s="1" t="s">
        <v>114</v>
      </c>
      <c r="F26" s="1" t="s">
        <v>130</v>
      </c>
      <c r="G26" s="1"/>
      <c r="H26" s="5">
        <f>SUM(H27-H10-H11-H12-H13-H14-H15-H16-H17-H18-H19-H20-H21-H22-H23-H24-H25)</f>
        <v>43300</v>
      </c>
    </row>
    <row r="27" spans="1:8" x14ac:dyDescent="0.3">
      <c r="A27" s="1"/>
      <c r="B27" s="1"/>
      <c r="C27" s="1"/>
      <c r="D27" s="5">
        <f>SUM(D10:D26)</f>
        <v>261000</v>
      </c>
      <c r="E27" s="1"/>
      <c r="F27" s="1"/>
      <c r="G27" s="1"/>
      <c r="H27" s="5">
        <f>SUM(D27)</f>
        <v>261000</v>
      </c>
    </row>
    <row r="28" spans="1:8" x14ac:dyDescent="0.3">
      <c r="A28" s="1" t="s">
        <v>8</v>
      </c>
      <c r="B28" s="1" t="s">
        <v>131</v>
      </c>
      <c r="C28" s="1"/>
      <c r="D28" s="5">
        <f>SUM(H26)</f>
        <v>43300</v>
      </c>
      <c r="E28" s="1"/>
      <c r="F28" s="1"/>
      <c r="G28" s="1"/>
      <c r="H28" s="1"/>
    </row>
    <row r="30" spans="1:8" x14ac:dyDescent="0.3">
      <c r="A30" s="14" t="s">
        <v>54</v>
      </c>
      <c r="B30" s="14"/>
      <c r="C30" s="14"/>
      <c r="D30" s="14"/>
      <c r="E30" s="14"/>
      <c r="F30" s="14"/>
      <c r="G30" s="14"/>
      <c r="H30" s="14"/>
    </row>
    <row r="31" spans="1:8" x14ac:dyDescent="0.3">
      <c r="A31" s="2" t="s">
        <v>1</v>
      </c>
      <c r="B31" s="2" t="s">
        <v>2</v>
      </c>
      <c r="C31" s="2" t="s">
        <v>112</v>
      </c>
      <c r="D31" s="2" t="s">
        <v>111</v>
      </c>
      <c r="E31" s="2" t="s">
        <v>1</v>
      </c>
      <c r="F31" s="2" t="s">
        <v>2</v>
      </c>
      <c r="G31" s="2" t="s">
        <v>112</v>
      </c>
      <c r="H31" s="2" t="s">
        <v>111</v>
      </c>
    </row>
    <row r="32" spans="1:8" x14ac:dyDescent="0.3">
      <c r="A32" s="1" t="s">
        <v>82</v>
      </c>
      <c r="B32" s="1" t="s">
        <v>40</v>
      </c>
      <c r="C32" s="1"/>
      <c r="D32" s="4">
        <v>100000</v>
      </c>
      <c r="E32" s="1" t="s">
        <v>92</v>
      </c>
      <c r="F32" s="1" t="s">
        <v>133</v>
      </c>
      <c r="G32" s="1"/>
      <c r="H32" s="4">
        <v>12000</v>
      </c>
    </row>
    <row r="33" spans="1:8" x14ac:dyDescent="0.3">
      <c r="A33" s="1" t="s">
        <v>103</v>
      </c>
      <c r="B33" s="1" t="s">
        <v>55</v>
      </c>
      <c r="C33" s="1"/>
      <c r="D33" s="1">
        <v>800</v>
      </c>
      <c r="E33" s="1" t="s">
        <v>114</v>
      </c>
      <c r="F33" s="1" t="s">
        <v>130</v>
      </c>
      <c r="G33" s="1"/>
      <c r="H33" s="5">
        <f>SUM(H35-H32)</f>
        <v>108800</v>
      </c>
    </row>
    <row r="34" spans="1:8" x14ac:dyDescent="0.3">
      <c r="A34" s="1" t="s">
        <v>110</v>
      </c>
      <c r="B34" s="1" t="s">
        <v>40</v>
      </c>
      <c r="C34" s="1"/>
      <c r="D34" s="4">
        <v>20000</v>
      </c>
      <c r="E34" s="1"/>
      <c r="F34" s="1"/>
      <c r="G34" s="1"/>
      <c r="H34" s="1"/>
    </row>
    <row r="35" spans="1:8" x14ac:dyDescent="0.3">
      <c r="A35" s="1"/>
      <c r="B35" s="1"/>
      <c r="C35" s="1"/>
      <c r="D35" s="5">
        <f>SUM(D32:D34)</f>
        <v>120800</v>
      </c>
      <c r="E35" s="1"/>
      <c r="F35" s="1"/>
      <c r="G35" s="1"/>
      <c r="H35" s="5">
        <f>SUM(D35)</f>
        <v>120800</v>
      </c>
    </row>
    <row r="36" spans="1:8" x14ac:dyDescent="0.3">
      <c r="A36" s="1" t="s">
        <v>8</v>
      </c>
      <c r="B36" s="1" t="s">
        <v>131</v>
      </c>
      <c r="C36" s="1"/>
      <c r="D36" s="5">
        <f>SUM(H33)</f>
        <v>108800</v>
      </c>
      <c r="E36" s="1"/>
      <c r="F36" s="1"/>
      <c r="G36" s="1"/>
      <c r="H36" s="1"/>
    </row>
    <row r="38" spans="1:8" x14ac:dyDescent="0.3">
      <c r="A38" s="14" t="s">
        <v>15</v>
      </c>
      <c r="B38" s="14"/>
      <c r="C38" s="14"/>
      <c r="D38" s="14"/>
      <c r="E38" s="14"/>
      <c r="F38" s="14"/>
      <c r="G38" s="14"/>
      <c r="H38" s="14"/>
    </row>
    <row r="39" spans="1:8" x14ac:dyDescent="0.3">
      <c r="A39" s="2" t="s">
        <v>1</v>
      </c>
      <c r="B39" s="2" t="s">
        <v>2</v>
      </c>
      <c r="C39" s="2" t="s">
        <v>112</v>
      </c>
      <c r="D39" s="2" t="s">
        <v>111</v>
      </c>
      <c r="E39" s="2" t="s">
        <v>1</v>
      </c>
      <c r="F39" s="2" t="s">
        <v>2</v>
      </c>
      <c r="G39" s="2" t="s">
        <v>112</v>
      </c>
      <c r="H39" s="2" t="s">
        <v>111</v>
      </c>
    </row>
    <row r="40" spans="1:8" x14ac:dyDescent="0.3">
      <c r="A40" s="1" t="s">
        <v>84</v>
      </c>
      <c r="B40" s="1" t="s">
        <v>40</v>
      </c>
      <c r="C40" s="1"/>
      <c r="D40" s="4">
        <v>20000</v>
      </c>
      <c r="E40" s="1" t="s">
        <v>114</v>
      </c>
      <c r="F40" s="1" t="s">
        <v>130</v>
      </c>
      <c r="G40" s="1"/>
      <c r="H40" s="5">
        <v>45000</v>
      </c>
    </row>
    <row r="41" spans="1:8" x14ac:dyDescent="0.3">
      <c r="A41" s="1" t="s">
        <v>83</v>
      </c>
      <c r="B41" s="1" t="s">
        <v>20</v>
      </c>
      <c r="C41" s="1"/>
      <c r="D41" s="4">
        <v>15000</v>
      </c>
      <c r="E41" s="1"/>
      <c r="F41" s="1"/>
      <c r="G41" s="1"/>
      <c r="H41" s="1"/>
    </row>
    <row r="42" spans="1:8" x14ac:dyDescent="0.3">
      <c r="A42" s="1" t="s">
        <v>97</v>
      </c>
      <c r="B42" s="1" t="s">
        <v>139</v>
      </c>
      <c r="C42" s="1"/>
      <c r="D42" s="4">
        <v>10000</v>
      </c>
      <c r="E42" s="1"/>
      <c r="F42" s="1"/>
      <c r="G42" s="1"/>
      <c r="H42" s="1"/>
    </row>
    <row r="43" spans="1:8" x14ac:dyDescent="0.3">
      <c r="A43" s="1"/>
      <c r="B43" s="1"/>
      <c r="C43" s="1"/>
      <c r="D43" s="5">
        <v>45000</v>
      </c>
      <c r="E43" s="1"/>
      <c r="F43" s="1"/>
      <c r="G43" s="1"/>
      <c r="H43" s="5">
        <v>45000</v>
      </c>
    </row>
    <row r="44" spans="1:8" x14ac:dyDescent="0.3">
      <c r="A44" s="1" t="s">
        <v>8</v>
      </c>
      <c r="B44" s="1" t="s">
        <v>131</v>
      </c>
      <c r="C44" s="1"/>
      <c r="D44" s="5">
        <v>45000</v>
      </c>
      <c r="E44" s="1"/>
      <c r="F44" s="1"/>
      <c r="G44" s="1"/>
      <c r="H44" s="1"/>
    </row>
    <row r="46" spans="1:8" x14ac:dyDescent="0.3">
      <c r="A46" s="14" t="s">
        <v>140</v>
      </c>
      <c r="B46" s="14"/>
      <c r="C46" s="14"/>
      <c r="D46" s="14"/>
      <c r="E46" s="14"/>
      <c r="F46" s="14"/>
      <c r="G46" s="14"/>
      <c r="H46" s="14"/>
    </row>
    <row r="47" spans="1:8" x14ac:dyDescent="0.3">
      <c r="A47" s="2" t="s">
        <v>1</v>
      </c>
      <c r="B47" s="2" t="s">
        <v>2</v>
      </c>
      <c r="C47" s="2" t="s">
        <v>112</v>
      </c>
      <c r="D47" s="2" t="s">
        <v>111</v>
      </c>
      <c r="E47" s="2" t="s">
        <v>1</v>
      </c>
      <c r="F47" s="2" t="s">
        <v>2</v>
      </c>
      <c r="G47" s="2" t="s">
        <v>112</v>
      </c>
      <c r="H47" s="2" t="s">
        <v>111</v>
      </c>
    </row>
    <row r="48" spans="1:8" x14ac:dyDescent="0.3">
      <c r="A48" s="1" t="s">
        <v>114</v>
      </c>
      <c r="B48" s="1" t="s">
        <v>115</v>
      </c>
      <c r="C48" s="1"/>
      <c r="D48" s="5">
        <v>72000</v>
      </c>
      <c r="E48" s="1" t="s">
        <v>85</v>
      </c>
      <c r="F48" s="1" t="s">
        <v>113</v>
      </c>
      <c r="G48" s="1"/>
      <c r="H48" s="4">
        <v>25000</v>
      </c>
    </row>
    <row r="49" spans="1:8" x14ac:dyDescent="0.3">
      <c r="A49" s="1"/>
      <c r="B49" s="1"/>
      <c r="C49" s="1"/>
      <c r="D49" s="1"/>
      <c r="E49" s="1" t="s">
        <v>86</v>
      </c>
      <c r="F49" s="1" t="s">
        <v>141</v>
      </c>
      <c r="G49" s="1"/>
      <c r="H49" s="4">
        <v>18000</v>
      </c>
    </row>
    <row r="50" spans="1:8" x14ac:dyDescent="0.3">
      <c r="A50" s="1"/>
      <c r="B50" s="1"/>
      <c r="C50" s="1"/>
      <c r="D50" s="1"/>
      <c r="E50" s="1" t="s">
        <v>98</v>
      </c>
      <c r="F50" s="1" t="s">
        <v>142</v>
      </c>
      <c r="G50" s="1"/>
      <c r="H50" s="4">
        <v>14000</v>
      </c>
    </row>
    <row r="51" spans="1:8" x14ac:dyDescent="0.3">
      <c r="A51" s="1"/>
      <c r="B51" s="1"/>
      <c r="C51" s="1"/>
      <c r="D51" s="1"/>
      <c r="E51" s="1" t="s">
        <v>107</v>
      </c>
      <c r="F51" s="1" t="s">
        <v>113</v>
      </c>
      <c r="G51" s="1"/>
      <c r="H51" s="4">
        <v>15000</v>
      </c>
    </row>
    <row r="52" spans="1:8" x14ac:dyDescent="0.3">
      <c r="A52" s="1"/>
      <c r="B52" s="1"/>
      <c r="C52" s="1"/>
      <c r="D52" s="5">
        <v>72000</v>
      </c>
      <c r="E52" s="1"/>
      <c r="F52" s="1"/>
      <c r="G52" s="1"/>
      <c r="H52" s="5">
        <v>72000</v>
      </c>
    </row>
    <row r="53" spans="1:8" x14ac:dyDescent="0.3">
      <c r="A53" s="1"/>
      <c r="B53" s="1"/>
      <c r="C53" s="1"/>
      <c r="D53" s="1"/>
      <c r="E53" s="1" t="s">
        <v>8</v>
      </c>
      <c r="F53" s="1" t="s">
        <v>116</v>
      </c>
      <c r="G53" s="1"/>
      <c r="H53" s="5">
        <v>72000</v>
      </c>
    </row>
    <row r="55" spans="1:8" x14ac:dyDescent="0.3">
      <c r="A55" s="14" t="s">
        <v>143</v>
      </c>
      <c r="B55" s="14"/>
      <c r="C55" s="14"/>
      <c r="D55" s="14"/>
      <c r="E55" s="14"/>
      <c r="F55" s="14"/>
      <c r="G55" s="14"/>
      <c r="H55" s="14"/>
    </row>
    <row r="56" spans="1:8" x14ac:dyDescent="0.3">
      <c r="A56" s="2" t="s">
        <v>1</v>
      </c>
      <c r="B56" s="2" t="s">
        <v>2</v>
      </c>
      <c r="C56" s="2" t="s">
        <v>112</v>
      </c>
      <c r="D56" s="2" t="s">
        <v>111</v>
      </c>
      <c r="E56" s="2" t="s">
        <v>1</v>
      </c>
      <c r="F56" s="2" t="s">
        <v>2</v>
      </c>
      <c r="G56" s="2" t="s">
        <v>112</v>
      </c>
      <c r="H56" s="2" t="s">
        <v>111</v>
      </c>
    </row>
    <row r="57" spans="1:8" x14ac:dyDescent="0.3">
      <c r="A57" s="1" t="s">
        <v>114</v>
      </c>
      <c r="B57" s="1" t="s">
        <v>115</v>
      </c>
      <c r="C57" s="1"/>
      <c r="D57" s="5">
        <v>1000</v>
      </c>
      <c r="E57" s="1" t="s">
        <v>101</v>
      </c>
      <c r="F57" s="1" t="s">
        <v>144</v>
      </c>
      <c r="G57" s="1"/>
      <c r="H57" s="4">
        <v>1000</v>
      </c>
    </row>
    <row r="58" spans="1:8" x14ac:dyDescent="0.3">
      <c r="A58" s="1"/>
      <c r="B58" s="1"/>
      <c r="C58" s="1"/>
      <c r="D58" s="5">
        <v>1000</v>
      </c>
      <c r="E58" s="1"/>
      <c r="F58" s="1"/>
      <c r="G58" s="1"/>
      <c r="H58" s="5">
        <v>1000</v>
      </c>
    </row>
    <row r="59" spans="1:8" x14ac:dyDescent="0.3">
      <c r="A59" s="1"/>
      <c r="B59" s="1"/>
      <c r="C59" s="1"/>
      <c r="D59" s="1"/>
      <c r="E59" s="1" t="s">
        <v>8</v>
      </c>
      <c r="F59" s="1" t="s">
        <v>116</v>
      </c>
      <c r="G59" s="1"/>
      <c r="H59" s="5">
        <v>1000</v>
      </c>
    </row>
    <row r="61" spans="1:8" x14ac:dyDescent="0.3">
      <c r="A61" s="14" t="s">
        <v>145</v>
      </c>
      <c r="B61" s="14"/>
      <c r="C61" s="14"/>
      <c r="D61" s="14"/>
      <c r="E61" s="14"/>
      <c r="F61" s="14"/>
      <c r="G61" s="14"/>
      <c r="H61" s="14"/>
    </row>
    <row r="62" spans="1:8" x14ac:dyDescent="0.3">
      <c r="A62" s="2" t="s">
        <v>1</v>
      </c>
      <c r="B62" s="2" t="s">
        <v>2</v>
      </c>
      <c r="C62" s="2" t="s">
        <v>112</v>
      </c>
      <c r="D62" s="2" t="s">
        <v>111</v>
      </c>
      <c r="E62" s="2" t="s">
        <v>1</v>
      </c>
      <c r="F62" s="2" t="s">
        <v>2</v>
      </c>
      <c r="G62" s="2" t="s">
        <v>112</v>
      </c>
      <c r="H62" s="2" t="s">
        <v>111</v>
      </c>
    </row>
    <row r="63" spans="1:8" x14ac:dyDescent="0.3">
      <c r="A63" s="1" t="s">
        <v>102</v>
      </c>
      <c r="B63" s="1" t="s">
        <v>146</v>
      </c>
      <c r="C63" s="1"/>
      <c r="D63" s="4">
        <v>2000</v>
      </c>
      <c r="E63" s="1" t="s">
        <v>114</v>
      </c>
      <c r="F63" s="1" t="s">
        <v>130</v>
      </c>
      <c r="G63" s="1"/>
      <c r="H63" s="5">
        <v>2000</v>
      </c>
    </row>
    <row r="64" spans="1:8" x14ac:dyDescent="0.3">
      <c r="A64" s="1"/>
      <c r="B64" s="1"/>
      <c r="C64" s="1"/>
      <c r="D64" s="5">
        <v>2000</v>
      </c>
      <c r="E64" s="1"/>
      <c r="F64" s="1"/>
      <c r="G64" s="1"/>
      <c r="H64" s="5">
        <v>2000</v>
      </c>
    </row>
    <row r="65" spans="1:8" x14ac:dyDescent="0.3">
      <c r="A65" s="1" t="s">
        <v>8</v>
      </c>
      <c r="B65" s="1" t="s">
        <v>131</v>
      </c>
      <c r="C65" s="1"/>
      <c r="D65" s="5">
        <v>2000</v>
      </c>
      <c r="E65" s="1"/>
      <c r="F65" s="1"/>
      <c r="G65" s="1"/>
      <c r="H65" s="1"/>
    </row>
    <row r="67" spans="1:8" x14ac:dyDescent="0.3">
      <c r="A67" s="14" t="s">
        <v>16</v>
      </c>
      <c r="B67" s="14"/>
      <c r="C67" s="14"/>
      <c r="D67" s="14"/>
      <c r="E67" s="14"/>
      <c r="F67" s="14"/>
      <c r="G67" s="14"/>
      <c r="H67" s="14"/>
    </row>
    <row r="68" spans="1:8" x14ac:dyDescent="0.3">
      <c r="A68" s="2" t="s">
        <v>117</v>
      </c>
      <c r="B68" s="2" t="s">
        <v>2</v>
      </c>
      <c r="C68" s="2" t="s">
        <v>112</v>
      </c>
      <c r="D68" s="2" t="s">
        <v>111</v>
      </c>
      <c r="E68" s="2" t="s">
        <v>1</v>
      </c>
      <c r="F68" s="2" t="s">
        <v>2</v>
      </c>
      <c r="G68" s="2" t="s">
        <v>112</v>
      </c>
      <c r="H68" s="2" t="s">
        <v>111</v>
      </c>
    </row>
    <row r="69" spans="1:8" x14ac:dyDescent="0.3">
      <c r="A69" s="1" t="s">
        <v>92</v>
      </c>
      <c r="B69" s="1" t="s">
        <v>37</v>
      </c>
      <c r="C69" s="1"/>
      <c r="D69" s="4">
        <v>12000</v>
      </c>
      <c r="E69" s="1" t="s">
        <v>83</v>
      </c>
      <c r="F69" s="1" t="s">
        <v>147</v>
      </c>
      <c r="G69" s="1"/>
      <c r="H69" s="4">
        <v>15000</v>
      </c>
    </row>
    <row r="70" spans="1:8" x14ac:dyDescent="0.3">
      <c r="A70" s="1" t="s">
        <v>114</v>
      </c>
      <c r="B70" s="1" t="s">
        <v>115</v>
      </c>
      <c r="C70" s="1"/>
      <c r="D70" s="5">
        <v>3000</v>
      </c>
      <c r="E70" s="1"/>
      <c r="F70" s="1"/>
      <c r="G70" s="1"/>
      <c r="H70" s="4"/>
    </row>
    <row r="71" spans="1:8" x14ac:dyDescent="0.3">
      <c r="A71" s="1"/>
      <c r="B71" s="1"/>
      <c r="C71" s="1"/>
      <c r="D71" s="5">
        <v>15000</v>
      </c>
      <c r="E71" s="1"/>
      <c r="F71" s="1"/>
      <c r="G71" s="1"/>
      <c r="H71" s="5">
        <v>15000</v>
      </c>
    </row>
    <row r="72" spans="1:8" x14ac:dyDescent="0.3">
      <c r="A72" s="1"/>
      <c r="B72" s="1"/>
      <c r="C72" s="1"/>
      <c r="D72" s="1"/>
      <c r="E72" s="1" t="s">
        <v>8</v>
      </c>
      <c r="F72" s="1" t="s">
        <v>116</v>
      </c>
      <c r="G72" s="1"/>
      <c r="H72" s="5">
        <v>3000</v>
      </c>
    </row>
    <row r="74" spans="1:8" x14ac:dyDescent="0.3">
      <c r="A74" s="14" t="s">
        <v>19</v>
      </c>
      <c r="B74" s="14"/>
      <c r="C74" s="14"/>
      <c r="D74" s="14"/>
      <c r="E74" s="14"/>
      <c r="F74" s="14"/>
      <c r="G74" s="14"/>
      <c r="H74" s="14"/>
    </row>
    <row r="75" spans="1:8" x14ac:dyDescent="0.3">
      <c r="A75" s="2" t="s">
        <v>1</v>
      </c>
      <c r="B75" s="2" t="s">
        <v>2</v>
      </c>
      <c r="C75" s="2" t="s">
        <v>112</v>
      </c>
      <c r="D75" s="2" t="s">
        <v>111</v>
      </c>
      <c r="E75" s="2" t="s">
        <v>1</v>
      </c>
      <c r="F75" s="2" t="s">
        <v>2</v>
      </c>
      <c r="G75" s="2" t="s">
        <v>148</v>
      </c>
      <c r="H75" s="2" t="s">
        <v>111</v>
      </c>
    </row>
    <row r="76" spans="1:8" x14ac:dyDescent="0.3">
      <c r="A76" s="1" t="s">
        <v>86</v>
      </c>
      <c r="B76" s="1" t="s">
        <v>121</v>
      </c>
      <c r="C76" s="1"/>
      <c r="D76" s="4">
        <v>18000</v>
      </c>
      <c r="E76" s="1" t="s">
        <v>91</v>
      </c>
      <c r="F76" s="1" t="s">
        <v>113</v>
      </c>
      <c r="G76" s="1"/>
      <c r="H76" s="4">
        <v>10000</v>
      </c>
    </row>
    <row r="77" spans="1:8" x14ac:dyDescent="0.3">
      <c r="A77" s="1"/>
      <c r="B77" s="1"/>
      <c r="C77" s="1"/>
      <c r="D77" s="1"/>
      <c r="E77" s="1" t="s">
        <v>102</v>
      </c>
      <c r="F77" s="1" t="s">
        <v>149</v>
      </c>
      <c r="G77" s="1"/>
      <c r="H77" s="4">
        <v>2000</v>
      </c>
    </row>
    <row r="78" spans="1:8" x14ac:dyDescent="0.3">
      <c r="A78" s="1"/>
      <c r="B78" s="1"/>
      <c r="C78" s="1"/>
      <c r="D78" s="1"/>
      <c r="E78" s="1" t="s">
        <v>114</v>
      </c>
      <c r="F78" s="1" t="s">
        <v>130</v>
      </c>
      <c r="G78" s="1"/>
      <c r="H78" s="5">
        <v>6000</v>
      </c>
    </row>
    <row r="79" spans="1:8" x14ac:dyDescent="0.3">
      <c r="A79" s="1"/>
      <c r="B79" s="1"/>
      <c r="C79" s="1"/>
      <c r="D79" s="5">
        <v>18000</v>
      </c>
      <c r="E79" s="1"/>
      <c r="F79" s="1"/>
      <c r="G79" s="1"/>
      <c r="H79" s="5">
        <v>18000</v>
      </c>
    </row>
    <row r="80" spans="1:8" x14ac:dyDescent="0.3">
      <c r="A80" s="1" t="s">
        <v>8</v>
      </c>
      <c r="B80" s="1" t="s">
        <v>131</v>
      </c>
      <c r="C80" s="1"/>
      <c r="D80" s="5">
        <v>6000</v>
      </c>
      <c r="E80" s="1"/>
      <c r="F80" s="1"/>
      <c r="G80" s="1"/>
      <c r="H80" s="1"/>
    </row>
    <row r="82" spans="1:8" x14ac:dyDescent="0.3">
      <c r="A82" s="14" t="s">
        <v>150</v>
      </c>
      <c r="B82" s="14"/>
      <c r="C82" s="14"/>
      <c r="D82" s="14"/>
      <c r="E82" s="14"/>
      <c r="F82" s="14"/>
      <c r="G82" s="14"/>
      <c r="H82" s="14"/>
    </row>
    <row r="83" spans="1:8" x14ac:dyDescent="0.3">
      <c r="A83" s="2" t="s">
        <v>1</v>
      </c>
      <c r="B83" s="2" t="s">
        <v>2</v>
      </c>
      <c r="C83" s="2" t="s">
        <v>148</v>
      </c>
      <c r="D83" s="2" t="s">
        <v>111</v>
      </c>
      <c r="E83" s="2" t="s">
        <v>1</v>
      </c>
      <c r="F83" s="2" t="s">
        <v>2</v>
      </c>
      <c r="G83" s="2" t="s">
        <v>112</v>
      </c>
      <c r="H83" s="2" t="s">
        <v>111</v>
      </c>
    </row>
    <row r="84" spans="1:8" x14ac:dyDescent="0.3">
      <c r="A84" s="1" t="s">
        <v>87</v>
      </c>
      <c r="B84" s="1" t="s">
        <v>25</v>
      </c>
      <c r="C84" s="1"/>
      <c r="D84" s="4">
        <v>5000</v>
      </c>
      <c r="E84" s="1" t="s">
        <v>114</v>
      </c>
      <c r="F84" s="1" t="s">
        <v>130</v>
      </c>
      <c r="G84" s="1"/>
      <c r="H84" s="5">
        <v>5000</v>
      </c>
    </row>
    <row r="85" spans="1:8" x14ac:dyDescent="0.3">
      <c r="A85" s="1"/>
      <c r="B85" s="1"/>
      <c r="C85" s="1"/>
      <c r="D85" s="5">
        <v>5000</v>
      </c>
      <c r="E85" s="1"/>
      <c r="F85" s="1"/>
      <c r="G85" s="1"/>
      <c r="H85" s="5">
        <v>5000</v>
      </c>
    </row>
    <row r="86" spans="1:8" x14ac:dyDescent="0.3">
      <c r="A86" s="1" t="s">
        <v>8</v>
      </c>
      <c r="B86" s="1" t="s">
        <v>131</v>
      </c>
      <c r="C86" s="1"/>
      <c r="D86" s="5">
        <v>5000</v>
      </c>
      <c r="E86" s="1"/>
      <c r="F86" s="1"/>
      <c r="G86" s="1"/>
      <c r="H86" s="1"/>
    </row>
    <row r="88" spans="1:8" x14ac:dyDescent="0.3">
      <c r="A88" s="14" t="s">
        <v>151</v>
      </c>
      <c r="B88" s="14"/>
      <c r="C88" s="14"/>
      <c r="D88" s="14"/>
      <c r="E88" s="14"/>
      <c r="F88" s="14"/>
      <c r="G88" s="14"/>
      <c r="H88" s="14"/>
    </row>
    <row r="89" spans="1:8" x14ac:dyDescent="0.3">
      <c r="A89" s="2" t="s">
        <v>1</v>
      </c>
      <c r="B89" s="2" t="s">
        <v>2</v>
      </c>
      <c r="C89" s="2" t="s">
        <v>112</v>
      </c>
      <c r="D89" s="2" t="s">
        <v>111</v>
      </c>
      <c r="E89" s="2" t="s">
        <v>1</v>
      </c>
      <c r="F89" s="2" t="s">
        <v>2</v>
      </c>
      <c r="G89" s="2" t="s">
        <v>112</v>
      </c>
      <c r="H89" s="2" t="s">
        <v>111</v>
      </c>
    </row>
    <row r="90" spans="1:8" x14ac:dyDescent="0.3">
      <c r="A90" s="1" t="s">
        <v>88</v>
      </c>
      <c r="B90" s="1" t="s">
        <v>25</v>
      </c>
      <c r="C90" s="1"/>
      <c r="D90" s="4">
        <v>8000</v>
      </c>
      <c r="E90" s="1" t="s">
        <v>114</v>
      </c>
      <c r="F90" s="1" t="s">
        <v>152</v>
      </c>
      <c r="G90" s="1"/>
      <c r="H90" s="5">
        <v>8000</v>
      </c>
    </row>
    <row r="91" spans="1:8" x14ac:dyDescent="0.3">
      <c r="A91" s="1"/>
      <c r="B91" s="1"/>
      <c r="C91" s="1"/>
      <c r="D91" s="5">
        <v>8000</v>
      </c>
      <c r="E91" s="1"/>
      <c r="F91" s="1"/>
      <c r="G91" s="1"/>
      <c r="H91" s="5">
        <v>8000</v>
      </c>
    </row>
    <row r="92" spans="1:8" x14ac:dyDescent="0.3">
      <c r="A92" s="1" t="s">
        <v>8</v>
      </c>
      <c r="B92" s="1" t="s">
        <v>131</v>
      </c>
      <c r="C92" s="1"/>
      <c r="D92" s="5">
        <v>8000</v>
      </c>
      <c r="E92" s="1"/>
      <c r="F92" s="1"/>
      <c r="G92" s="1"/>
      <c r="H92" s="1"/>
    </row>
    <row r="94" spans="1:8" x14ac:dyDescent="0.3">
      <c r="A94" s="14" t="s">
        <v>153</v>
      </c>
      <c r="B94" s="14"/>
      <c r="C94" s="14"/>
      <c r="D94" s="14"/>
      <c r="E94" s="14"/>
      <c r="F94" s="14"/>
      <c r="G94" s="14"/>
      <c r="H94" s="14"/>
    </row>
    <row r="95" spans="1:8" x14ac:dyDescent="0.3">
      <c r="A95" s="2" t="s">
        <v>1</v>
      </c>
      <c r="B95" s="2" t="s">
        <v>2</v>
      </c>
      <c r="C95" s="2" t="s">
        <v>112</v>
      </c>
      <c r="D95" s="2" t="s">
        <v>111</v>
      </c>
      <c r="E95" s="2" t="s">
        <v>1</v>
      </c>
      <c r="F95" s="2" t="s">
        <v>2</v>
      </c>
      <c r="G95" s="2" t="s">
        <v>112</v>
      </c>
      <c r="H95" s="2" t="s">
        <v>111</v>
      </c>
    </row>
    <row r="96" spans="1:8" x14ac:dyDescent="0.3">
      <c r="A96" s="1" t="s">
        <v>89</v>
      </c>
      <c r="B96" s="1" t="s">
        <v>25</v>
      </c>
      <c r="C96" s="1"/>
      <c r="D96" s="4">
        <v>12000</v>
      </c>
      <c r="E96" s="1" t="s">
        <v>114</v>
      </c>
      <c r="F96" s="1" t="s">
        <v>130</v>
      </c>
      <c r="G96" s="1"/>
      <c r="H96" s="5">
        <v>12000</v>
      </c>
    </row>
    <row r="97" spans="1:8" x14ac:dyDescent="0.3">
      <c r="A97" s="1"/>
      <c r="B97" s="1"/>
      <c r="C97" s="1"/>
      <c r="D97" s="5">
        <v>12000</v>
      </c>
      <c r="E97" s="1"/>
      <c r="F97" s="1"/>
      <c r="G97" s="1"/>
      <c r="H97" s="5">
        <v>12000</v>
      </c>
    </row>
    <row r="98" spans="1:8" x14ac:dyDescent="0.3">
      <c r="A98" s="1" t="s">
        <v>8</v>
      </c>
      <c r="B98" s="1" t="s">
        <v>131</v>
      </c>
      <c r="C98" s="1"/>
      <c r="D98" s="5">
        <v>12000</v>
      </c>
      <c r="E98" s="1"/>
      <c r="F98" s="1"/>
      <c r="G98" s="1"/>
      <c r="H98" s="1"/>
    </row>
    <row r="100" spans="1:8" x14ac:dyDescent="0.3">
      <c r="A100" s="14" t="s">
        <v>154</v>
      </c>
      <c r="B100" s="14"/>
      <c r="C100" s="14"/>
      <c r="D100" s="14"/>
      <c r="E100" s="14"/>
      <c r="F100" s="14"/>
      <c r="G100" s="14"/>
      <c r="H100" s="14"/>
    </row>
    <row r="101" spans="1:8" x14ac:dyDescent="0.3">
      <c r="A101" s="2" t="s">
        <v>1</v>
      </c>
      <c r="B101" s="2" t="s">
        <v>2</v>
      </c>
      <c r="C101" s="2" t="s">
        <v>112</v>
      </c>
      <c r="D101" s="2" t="s">
        <v>111</v>
      </c>
      <c r="E101" s="2" t="s">
        <v>1</v>
      </c>
      <c r="F101" s="2" t="s">
        <v>2</v>
      </c>
      <c r="G101" s="2" t="s">
        <v>112</v>
      </c>
      <c r="H101" s="2" t="s">
        <v>111</v>
      </c>
    </row>
    <row r="102" spans="1:8" x14ac:dyDescent="0.3">
      <c r="A102" s="1" t="s">
        <v>90</v>
      </c>
      <c r="B102" s="1" t="s">
        <v>37</v>
      </c>
      <c r="C102" s="1"/>
      <c r="D102" s="4">
        <v>2000</v>
      </c>
      <c r="E102" s="1" t="s">
        <v>114</v>
      </c>
      <c r="F102" s="1" t="s">
        <v>130</v>
      </c>
      <c r="G102" s="1"/>
      <c r="H102" s="5">
        <v>2000</v>
      </c>
    </row>
    <row r="103" spans="1:8" x14ac:dyDescent="0.3">
      <c r="A103" s="1"/>
      <c r="B103" s="1"/>
      <c r="C103" s="1"/>
      <c r="D103" s="5">
        <v>2000</v>
      </c>
      <c r="E103" s="1"/>
      <c r="F103" s="1"/>
      <c r="G103" s="1"/>
      <c r="H103" s="5">
        <v>2000</v>
      </c>
    </row>
    <row r="104" spans="1:8" x14ac:dyDescent="0.3">
      <c r="A104" s="1" t="s">
        <v>8</v>
      </c>
      <c r="B104" s="1" t="s">
        <v>131</v>
      </c>
      <c r="C104" s="1"/>
      <c r="D104" s="5">
        <v>2000</v>
      </c>
      <c r="E104" s="1"/>
      <c r="F104" s="1"/>
      <c r="G104" s="1"/>
      <c r="H104" s="1"/>
    </row>
    <row r="106" spans="1:8" x14ac:dyDescent="0.3">
      <c r="A106" s="14" t="s">
        <v>155</v>
      </c>
      <c r="B106" s="14"/>
      <c r="C106" s="14"/>
      <c r="D106" s="14"/>
      <c r="E106" s="14"/>
      <c r="F106" s="14"/>
      <c r="G106" s="14"/>
      <c r="H106" s="14"/>
    </row>
    <row r="107" spans="1:8" x14ac:dyDescent="0.3">
      <c r="A107" s="2" t="s">
        <v>1</v>
      </c>
      <c r="B107" s="2" t="s">
        <v>2</v>
      </c>
      <c r="C107" s="2" t="s">
        <v>112</v>
      </c>
      <c r="D107" s="2" t="s">
        <v>111</v>
      </c>
      <c r="E107" s="2" t="s">
        <v>117</v>
      </c>
      <c r="F107" s="2" t="s">
        <v>2</v>
      </c>
      <c r="G107" s="2" t="s">
        <v>112</v>
      </c>
      <c r="H107" s="2" t="s">
        <v>111</v>
      </c>
    </row>
    <row r="108" spans="1:8" x14ac:dyDescent="0.3">
      <c r="A108" s="1" t="s">
        <v>93</v>
      </c>
      <c r="B108" s="1" t="s">
        <v>40</v>
      </c>
      <c r="C108" s="1"/>
      <c r="D108" s="4">
        <v>1500</v>
      </c>
      <c r="E108" s="1" t="s">
        <v>114</v>
      </c>
      <c r="F108" s="1" t="s">
        <v>130</v>
      </c>
      <c r="G108" s="1"/>
      <c r="H108" s="5">
        <v>1500</v>
      </c>
    </row>
    <row r="109" spans="1:8" x14ac:dyDescent="0.3">
      <c r="A109" s="1"/>
      <c r="B109" s="1"/>
      <c r="C109" s="1"/>
      <c r="D109" s="5">
        <v>1500</v>
      </c>
      <c r="E109" s="1"/>
      <c r="F109" s="1"/>
      <c r="G109" s="1"/>
      <c r="H109" s="5">
        <v>1500</v>
      </c>
    </row>
    <row r="110" spans="1:8" x14ac:dyDescent="0.3">
      <c r="A110" s="1" t="s">
        <v>8</v>
      </c>
      <c r="B110" s="1" t="s">
        <v>131</v>
      </c>
      <c r="C110" s="1"/>
      <c r="D110" s="5">
        <v>1500</v>
      </c>
      <c r="E110" s="1"/>
      <c r="F110" s="1"/>
      <c r="G110" s="1"/>
      <c r="H110" s="1"/>
    </row>
    <row r="112" spans="1:8" x14ac:dyDescent="0.3">
      <c r="A112" s="14" t="s">
        <v>156</v>
      </c>
      <c r="B112" s="14"/>
      <c r="C112" s="14"/>
      <c r="D112" s="14"/>
      <c r="E112" s="14"/>
      <c r="F112" s="14"/>
      <c r="G112" s="14"/>
      <c r="H112" s="14"/>
    </row>
    <row r="113" spans="1:8" x14ac:dyDescent="0.3">
      <c r="A113" s="2" t="s">
        <v>1</v>
      </c>
      <c r="B113" s="2" t="s">
        <v>2</v>
      </c>
      <c r="C113" s="2" t="s">
        <v>112</v>
      </c>
      <c r="D113" s="2" t="s">
        <v>111</v>
      </c>
      <c r="E113" s="2" t="s">
        <v>1</v>
      </c>
      <c r="F113" s="2" t="s">
        <v>2</v>
      </c>
      <c r="G113" s="2" t="s">
        <v>112</v>
      </c>
      <c r="H113" s="2" t="s">
        <v>111</v>
      </c>
    </row>
    <row r="114" spans="1:8" x14ac:dyDescent="0.3">
      <c r="A114" s="1" t="s">
        <v>94</v>
      </c>
      <c r="B114" s="1" t="s">
        <v>37</v>
      </c>
      <c r="C114" s="1"/>
      <c r="D114" s="4">
        <v>2500</v>
      </c>
      <c r="E114" s="1" t="s">
        <v>114</v>
      </c>
      <c r="F114" s="1" t="s">
        <v>130</v>
      </c>
      <c r="G114" s="1"/>
      <c r="H114" s="5">
        <v>2500</v>
      </c>
    </row>
    <row r="115" spans="1:8" x14ac:dyDescent="0.3">
      <c r="A115" s="1"/>
      <c r="B115" s="1"/>
      <c r="C115" s="1"/>
      <c r="D115" s="5">
        <v>2500</v>
      </c>
      <c r="E115" s="1"/>
      <c r="F115" s="1"/>
      <c r="G115" s="1"/>
      <c r="H115" s="5">
        <v>2500</v>
      </c>
    </row>
    <row r="116" spans="1:8" x14ac:dyDescent="0.3">
      <c r="A116" s="1" t="s">
        <v>8</v>
      </c>
      <c r="B116" s="1" t="s">
        <v>131</v>
      </c>
      <c r="C116" s="1"/>
      <c r="D116" s="5">
        <v>2500</v>
      </c>
      <c r="E116" s="1"/>
      <c r="F116" s="1"/>
      <c r="G116" s="1"/>
      <c r="H116" s="1"/>
    </row>
    <row r="118" spans="1:8" x14ac:dyDescent="0.3">
      <c r="A118" s="14" t="s">
        <v>157</v>
      </c>
      <c r="B118" s="14"/>
      <c r="C118" s="14"/>
      <c r="D118" s="14"/>
      <c r="E118" s="14"/>
      <c r="F118" s="14"/>
      <c r="G118" s="14"/>
      <c r="H118" s="14"/>
    </row>
    <row r="119" spans="1:8" x14ac:dyDescent="0.3">
      <c r="A119" s="2" t="s">
        <v>1</v>
      </c>
      <c r="B119" s="2" t="s">
        <v>158</v>
      </c>
      <c r="C119" s="2" t="s">
        <v>112</v>
      </c>
      <c r="D119" s="2" t="s">
        <v>111</v>
      </c>
      <c r="E119" s="2" t="s">
        <v>1</v>
      </c>
      <c r="F119" s="2" t="s">
        <v>2</v>
      </c>
      <c r="G119" s="2" t="s">
        <v>112</v>
      </c>
      <c r="H119" s="2" t="s">
        <v>111</v>
      </c>
    </row>
    <row r="120" spans="1:8" x14ac:dyDescent="0.3">
      <c r="A120" s="1" t="s">
        <v>114</v>
      </c>
      <c r="B120" s="1" t="s">
        <v>115</v>
      </c>
      <c r="C120" s="1"/>
      <c r="D120" s="5">
        <v>3000</v>
      </c>
      <c r="E120" s="1" t="s">
        <v>95</v>
      </c>
      <c r="F120" s="1" t="s">
        <v>119</v>
      </c>
      <c r="G120" s="1"/>
      <c r="H120" s="4">
        <v>3000</v>
      </c>
    </row>
    <row r="121" spans="1:8" x14ac:dyDescent="0.3">
      <c r="A121" s="1"/>
      <c r="B121" s="1"/>
      <c r="C121" s="1"/>
      <c r="D121" s="5">
        <v>3000</v>
      </c>
      <c r="E121" s="1"/>
      <c r="F121" s="1"/>
      <c r="G121" s="1"/>
      <c r="H121" s="5">
        <v>3000</v>
      </c>
    </row>
    <row r="122" spans="1:8" x14ac:dyDescent="0.3">
      <c r="A122" s="1"/>
      <c r="B122" s="1"/>
      <c r="C122" s="1"/>
      <c r="D122" s="1"/>
      <c r="E122" s="1" t="s">
        <v>8</v>
      </c>
      <c r="F122" s="1" t="s">
        <v>116</v>
      </c>
      <c r="G122" s="1"/>
      <c r="H122" s="5">
        <v>3000</v>
      </c>
    </row>
    <row r="124" spans="1:8" x14ac:dyDescent="0.3">
      <c r="A124" s="14" t="s">
        <v>44</v>
      </c>
      <c r="B124" s="14"/>
      <c r="C124" s="14"/>
      <c r="D124" s="14"/>
      <c r="E124" s="14"/>
      <c r="F124" s="14"/>
      <c r="G124" s="14"/>
      <c r="H124" s="14"/>
    </row>
    <row r="125" spans="1:8" x14ac:dyDescent="0.3">
      <c r="A125" s="2" t="s">
        <v>1</v>
      </c>
      <c r="B125" s="2" t="s">
        <v>2</v>
      </c>
      <c r="C125" s="2" t="s">
        <v>112</v>
      </c>
      <c r="D125" s="2" t="s">
        <v>111</v>
      </c>
      <c r="E125" s="2" t="s">
        <v>117</v>
      </c>
      <c r="F125" s="2" t="s">
        <v>2</v>
      </c>
      <c r="G125" s="2" t="s">
        <v>112</v>
      </c>
      <c r="H125" s="2" t="s">
        <v>111</v>
      </c>
    </row>
    <row r="126" spans="1:8" x14ac:dyDescent="0.3">
      <c r="A126" s="1" t="s">
        <v>96</v>
      </c>
      <c r="B126" s="1" t="s">
        <v>25</v>
      </c>
      <c r="C126" s="1"/>
      <c r="D126" s="4">
        <v>5000</v>
      </c>
      <c r="E126" s="1" t="s">
        <v>114</v>
      </c>
      <c r="F126" s="1" t="s">
        <v>130</v>
      </c>
      <c r="G126" s="1"/>
      <c r="H126" s="5">
        <v>5000</v>
      </c>
    </row>
    <row r="127" spans="1:8" x14ac:dyDescent="0.3">
      <c r="A127" s="1"/>
      <c r="B127" s="1"/>
      <c r="C127" s="1"/>
      <c r="D127" s="5">
        <v>5000</v>
      </c>
      <c r="E127" s="1"/>
      <c r="F127" s="1"/>
      <c r="G127" s="1"/>
      <c r="H127" s="5">
        <v>5000</v>
      </c>
    </row>
    <row r="128" spans="1:8" x14ac:dyDescent="0.3">
      <c r="A128" s="1" t="s">
        <v>8</v>
      </c>
      <c r="B128" s="1" t="s">
        <v>131</v>
      </c>
      <c r="C128" s="1"/>
      <c r="D128" s="5">
        <v>5000</v>
      </c>
      <c r="E128" s="1"/>
      <c r="F128" s="1"/>
      <c r="G128" s="1"/>
      <c r="H128" s="1"/>
    </row>
    <row r="130" spans="1:8" x14ac:dyDescent="0.3">
      <c r="A130" s="14" t="s">
        <v>51</v>
      </c>
      <c r="B130" s="14"/>
      <c r="C130" s="14"/>
      <c r="D130" s="14"/>
      <c r="E130" s="14"/>
      <c r="F130" s="14"/>
      <c r="G130" s="14"/>
      <c r="H130" s="14"/>
    </row>
    <row r="131" spans="1:8" x14ac:dyDescent="0.3">
      <c r="A131" s="2" t="s">
        <v>1</v>
      </c>
      <c r="B131" s="2" t="s">
        <v>2</v>
      </c>
      <c r="C131" s="2" t="s">
        <v>112</v>
      </c>
      <c r="D131" s="2" t="s">
        <v>111</v>
      </c>
      <c r="E131" s="2" t="s">
        <v>1</v>
      </c>
      <c r="F131" s="2" t="s">
        <v>2</v>
      </c>
      <c r="G131" s="2" t="s">
        <v>112</v>
      </c>
      <c r="H131" s="2" t="s">
        <v>111</v>
      </c>
    </row>
    <row r="132" spans="1:8" x14ac:dyDescent="0.3">
      <c r="A132" s="1" t="s">
        <v>101</v>
      </c>
      <c r="B132" s="1" t="s">
        <v>52</v>
      </c>
      <c r="C132" s="1"/>
      <c r="D132" s="4">
        <v>1000</v>
      </c>
      <c r="E132" s="1" t="s">
        <v>97</v>
      </c>
      <c r="F132" s="1" t="s">
        <v>147</v>
      </c>
      <c r="G132" s="1"/>
      <c r="H132" s="4">
        <v>10000</v>
      </c>
    </row>
    <row r="133" spans="1:8" x14ac:dyDescent="0.3">
      <c r="A133" s="1" t="s">
        <v>114</v>
      </c>
      <c r="B133" s="1" t="s">
        <v>115</v>
      </c>
      <c r="C133" s="1"/>
      <c r="D133" s="5">
        <v>9000</v>
      </c>
      <c r="E133" s="1"/>
      <c r="F133" s="1"/>
      <c r="G133" s="1"/>
      <c r="H133" s="1"/>
    </row>
    <row r="134" spans="1:8" x14ac:dyDescent="0.3">
      <c r="A134" s="1"/>
      <c r="B134" s="1"/>
      <c r="C134" s="1"/>
      <c r="D134" s="5">
        <v>10000</v>
      </c>
      <c r="E134" s="1"/>
      <c r="F134" s="1"/>
      <c r="G134" s="1"/>
      <c r="H134" s="5">
        <v>10000</v>
      </c>
    </row>
    <row r="135" spans="1:8" x14ac:dyDescent="0.3">
      <c r="A135" s="1"/>
      <c r="B135" s="1"/>
      <c r="C135" s="1"/>
      <c r="D135" s="1"/>
      <c r="E135" s="1" t="s">
        <v>8</v>
      </c>
      <c r="F135" s="1" t="s">
        <v>116</v>
      </c>
      <c r="G135" s="1"/>
      <c r="H135" s="5">
        <v>9000</v>
      </c>
    </row>
    <row r="137" spans="1:8" x14ac:dyDescent="0.3">
      <c r="A137" s="14" t="s">
        <v>46</v>
      </c>
      <c r="B137" s="14"/>
      <c r="C137" s="14"/>
      <c r="D137" s="14"/>
      <c r="E137" s="14"/>
      <c r="F137" s="14"/>
      <c r="G137" s="14"/>
      <c r="H137" s="14"/>
    </row>
    <row r="138" spans="1:8" x14ac:dyDescent="0.3">
      <c r="A138" s="2" t="s">
        <v>117</v>
      </c>
      <c r="B138" s="2" t="s">
        <v>159</v>
      </c>
      <c r="C138" s="2" t="s">
        <v>112</v>
      </c>
      <c r="D138" s="2" t="s">
        <v>111</v>
      </c>
      <c r="E138" s="2" t="s">
        <v>1</v>
      </c>
      <c r="F138" s="2" t="s">
        <v>160</v>
      </c>
      <c r="G138" s="2" t="s">
        <v>112</v>
      </c>
      <c r="H138" s="2" t="s">
        <v>111</v>
      </c>
    </row>
    <row r="139" spans="1:8" x14ac:dyDescent="0.3">
      <c r="A139" s="1" t="s">
        <v>98</v>
      </c>
      <c r="B139" s="1" t="s">
        <v>121</v>
      </c>
      <c r="C139" s="1"/>
      <c r="D139" s="4">
        <v>14000</v>
      </c>
      <c r="E139" s="1" t="s">
        <v>99</v>
      </c>
      <c r="F139" s="1" t="s">
        <v>161</v>
      </c>
      <c r="G139" s="1"/>
      <c r="H139" s="4">
        <v>8000</v>
      </c>
    </row>
    <row r="140" spans="1:8" x14ac:dyDescent="0.3">
      <c r="A140" s="1"/>
      <c r="B140" s="1"/>
      <c r="C140" s="1"/>
      <c r="D140" s="1"/>
      <c r="E140" s="1" t="s">
        <v>114</v>
      </c>
      <c r="F140" s="1" t="s">
        <v>130</v>
      </c>
      <c r="G140" s="1"/>
      <c r="H140" s="5">
        <v>6000</v>
      </c>
    </row>
    <row r="141" spans="1:8" x14ac:dyDescent="0.3">
      <c r="A141" s="1"/>
      <c r="B141" s="1"/>
      <c r="C141" s="1"/>
      <c r="D141" s="5">
        <v>6000</v>
      </c>
      <c r="E141" s="1"/>
      <c r="F141" s="1"/>
      <c r="G141" s="1"/>
      <c r="H141" s="5">
        <v>6000</v>
      </c>
    </row>
    <row r="142" spans="1:8" x14ac:dyDescent="0.3">
      <c r="A142" s="1" t="s">
        <v>8</v>
      </c>
      <c r="B142" s="1" t="s">
        <v>131</v>
      </c>
      <c r="C142" s="1"/>
      <c r="D142" s="5">
        <v>6000</v>
      </c>
      <c r="E142" s="1"/>
      <c r="F142" s="1"/>
      <c r="G142" s="1"/>
      <c r="H142" s="1"/>
    </row>
    <row r="144" spans="1:8" x14ac:dyDescent="0.3">
      <c r="A144" s="14" t="s">
        <v>50</v>
      </c>
      <c r="B144" s="14"/>
      <c r="C144" s="14"/>
      <c r="D144" s="14"/>
      <c r="E144" s="14"/>
      <c r="F144" s="14"/>
      <c r="G144" s="14"/>
      <c r="H144" s="14"/>
    </row>
    <row r="145" spans="1:8" x14ac:dyDescent="0.3">
      <c r="A145" s="2" t="s">
        <v>1</v>
      </c>
      <c r="B145" s="2" t="s">
        <v>2</v>
      </c>
      <c r="C145" s="2" t="s">
        <v>112</v>
      </c>
      <c r="D145" s="2" t="s">
        <v>111</v>
      </c>
      <c r="E145" s="2" t="s">
        <v>1</v>
      </c>
      <c r="F145" s="2" t="s">
        <v>2</v>
      </c>
      <c r="G145" s="2" t="s">
        <v>112</v>
      </c>
      <c r="H145" s="2" t="s">
        <v>111</v>
      </c>
    </row>
    <row r="146" spans="1:8" x14ac:dyDescent="0.3">
      <c r="A146" s="1" t="s">
        <v>100</v>
      </c>
      <c r="B146" s="1" t="s">
        <v>162</v>
      </c>
      <c r="C146" s="1"/>
      <c r="D146" s="4">
        <v>1200</v>
      </c>
      <c r="E146" s="1" t="s">
        <v>114</v>
      </c>
      <c r="F146" s="1" t="s">
        <v>152</v>
      </c>
      <c r="G146" s="1"/>
      <c r="H146" s="5">
        <v>1200</v>
      </c>
    </row>
    <row r="147" spans="1:8" x14ac:dyDescent="0.3">
      <c r="A147" s="1"/>
      <c r="B147" s="1"/>
      <c r="C147" s="1"/>
      <c r="D147" s="5">
        <v>1200</v>
      </c>
      <c r="E147" s="1"/>
      <c r="F147" s="1"/>
      <c r="G147" s="1"/>
      <c r="H147" s="5">
        <v>1200</v>
      </c>
    </row>
    <row r="148" spans="1:8" x14ac:dyDescent="0.3">
      <c r="A148" s="1" t="s">
        <v>8</v>
      </c>
      <c r="B148" s="1" t="s">
        <v>131</v>
      </c>
      <c r="C148" s="1"/>
      <c r="D148" s="5">
        <v>1200</v>
      </c>
      <c r="E148" s="1"/>
      <c r="F148" s="1"/>
      <c r="G148" s="1"/>
      <c r="H148" s="1"/>
    </row>
    <row r="150" spans="1:8" x14ac:dyDescent="0.3">
      <c r="A150" s="14" t="s">
        <v>163</v>
      </c>
      <c r="B150" s="14"/>
      <c r="C150" s="14"/>
      <c r="D150" s="14"/>
      <c r="E150" s="14"/>
      <c r="F150" s="14"/>
      <c r="G150" s="14"/>
      <c r="H150" s="14"/>
    </row>
    <row r="151" spans="1:8" x14ac:dyDescent="0.3">
      <c r="A151" s="2" t="s">
        <v>1</v>
      </c>
      <c r="B151" s="2" t="s">
        <v>2</v>
      </c>
      <c r="C151" s="2" t="s">
        <v>112</v>
      </c>
      <c r="D151" s="2" t="s">
        <v>111</v>
      </c>
      <c r="E151" s="2" t="s">
        <v>117</v>
      </c>
      <c r="F151" s="2" t="s">
        <v>2</v>
      </c>
      <c r="G151" s="2" t="s">
        <v>112</v>
      </c>
      <c r="H151" s="2" t="s">
        <v>111</v>
      </c>
    </row>
    <row r="152" spans="1:8" x14ac:dyDescent="0.3">
      <c r="A152" s="1" t="s">
        <v>114</v>
      </c>
      <c r="B152" s="1" t="s">
        <v>115</v>
      </c>
      <c r="C152" s="1"/>
      <c r="D152" s="6">
        <v>800</v>
      </c>
      <c r="E152" s="1" t="s">
        <v>103</v>
      </c>
      <c r="F152" s="1" t="s">
        <v>119</v>
      </c>
      <c r="G152" s="1"/>
      <c r="H152" s="1">
        <v>800</v>
      </c>
    </row>
    <row r="153" spans="1:8" x14ac:dyDescent="0.3">
      <c r="A153" s="1"/>
      <c r="B153" s="1"/>
      <c r="C153" s="1"/>
      <c r="D153" s="6">
        <v>800</v>
      </c>
      <c r="E153" s="1"/>
      <c r="F153" s="1"/>
      <c r="G153" s="1"/>
      <c r="H153" s="6">
        <v>800</v>
      </c>
    </row>
    <row r="154" spans="1:8" x14ac:dyDescent="0.3">
      <c r="A154" s="1"/>
      <c r="B154" s="1"/>
      <c r="C154" s="1"/>
      <c r="D154" s="1"/>
      <c r="E154" s="1" t="s">
        <v>8</v>
      </c>
      <c r="F154" s="1" t="s">
        <v>116</v>
      </c>
      <c r="G154" s="1"/>
      <c r="H154" s="6">
        <v>800</v>
      </c>
    </row>
    <row r="156" spans="1:8" x14ac:dyDescent="0.3">
      <c r="A156" s="14" t="s">
        <v>56</v>
      </c>
      <c r="B156" s="14"/>
      <c r="C156" s="14"/>
      <c r="D156" s="14"/>
      <c r="E156" s="14"/>
      <c r="F156" s="14"/>
      <c r="G156" s="14"/>
      <c r="H156" s="14"/>
    </row>
    <row r="157" spans="1:8" x14ac:dyDescent="0.3">
      <c r="A157" s="2" t="s">
        <v>1</v>
      </c>
      <c r="B157" s="2" t="s">
        <v>2</v>
      </c>
      <c r="C157" s="2" t="s">
        <v>112</v>
      </c>
      <c r="D157" s="2" t="s">
        <v>111</v>
      </c>
      <c r="E157" s="2" t="s">
        <v>1</v>
      </c>
      <c r="F157" s="2" t="s">
        <v>2</v>
      </c>
      <c r="G157" s="2" t="s">
        <v>112</v>
      </c>
      <c r="H157" s="2" t="s">
        <v>111</v>
      </c>
    </row>
    <row r="158" spans="1:8" x14ac:dyDescent="0.3">
      <c r="A158" s="1" t="s">
        <v>104</v>
      </c>
      <c r="B158" s="1" t="s">
        <v>37</v>
      </c>
      <c r="C158" s="1"/>
      <c r="D158" s="4">
        <v>1000</v>
      </c>
      <c r="E158" s="1" t="s">
        <v>114</v>
      </c>
      <c r="F158" s="1" t="s">
        <v>130</v>
      </c>
      <c r="G158" s="1"/>
      <c r="H158" s="5">
        <v>1000</v>
      </c>
    </row>
    <row r="159" spans="1:8" x14ac:dyDescent="0.3">
      <c r="A159" s="1"/>
      <c r="B159" s="1"/>
      <c r="C159" s="1"/>
      <c r="D159" s="5">
        <v>1000</v>
      </c>
      <c r="E159" s="1"/>
      <c r="F159" s="1"/>
      <c r="G159" s="1"/>
      <c r="H159" s="5">
        <v>1000</v>
      </c>
    </row>
    <row r="160" spans="1:8" x14ac:dyDescent="0.3">
      <c r="A160" s="1" t="s">
        <v>8</v>
      </c>
      <c r="B160" s="1" t="s">
        <v>131</v>
      </c>
      <c r="C160" s="1"/>
      <c r="D160" s="5">
        <v>1000</v>
      </c>
      <c r="E160" s="1"/>
      <c r="F160" s="1"/>
      <c r="G160" s="1"/>
      <c r="H160" s="1"/>
    </row>
    <row r="162" spans="1:8" x14ac:dyDescent="0.3">
      <c r="A162" s="14" t="s">
        <v>164</v>
      </c>
      <c r="B162" s="14"/>
      <c r="C162" s="14"/>
      <c r="D162" s="14"/>
      <c r="E162" s="14"/>
      <c r="F162" s="14"/>
      <c r="G162" s="14"/>
      <c r="H162" s="14"/>
    </row>
    <row r="163" spans="1:8" x14ac:dyDescent="0.3">
      <c r="A163" s="2" t="s">
        <v>1</v>
      </c>
      <c r="B163" s="2" t="s">
        <v>2</v>
      </c>
      <c r="C163" s="2" t="s">
        <v>112</v>
      </c>
      <c r="D163" s="2" t="s">
        <v>111</v>
      </c>
      <c r="E163" s="2" t="s">
        <v>1</v>
      </c>
      <c r="F163" s="2" t="s">
        <v>2</v>
      </c>
      <c r="G163" s="2" t="s">
        <v>112</v>
      </c>
      <c r="H163" s="2" t="s">
        <v>111</v>
      </c>
    </row>
    <row r="164" spans="1:8" x14ac:dyDescent="0.3">
      <c r="A164" s="1" t="s">
        <v>105</v>
      </c>
      <c r="B164" s="1" t="s">
        <v>25</v>
      </c>
      <c r="C164" s="1"/>
      <c r="D164" s="4">
        <v>30000</v>
      </c>
      <c r="E164" s="1" t="s">
        <v>114</v>
      </c>
      <c r="F164" s="1" t="s">
        <v>152</v>
      </c>
      <c r="G164" s="1"/>
      <c r="H164" s="5">
        <v>30000</v>
      </c>
    </row>
    <row r="165" spans="1:8" x14ac:dyDescent="0.3">
      <c r="A165" s="1"/>
      <c r="B165" s="1"/>
      <c r="C165" s="1"/>
      <c r="D165" s="5">
        <v>30000</v>
      </c>
      <c r="E165" s="1"/>
      <c r="F165" s="1"/>
      <c r="G165" s="1"/>
      <c r="H165" s="5">
        <v>30000</v>
      </c>
    </row>
    <row r="166" spans="1:8" x14ac:dyDescent="0.3">
      <c r="A166" s="1" t="s">
        <v>8</v>
      </c>
      <c r="B166" s="1" t="s">
        <v>131</v>
      </c>
      <c r="C166" s="1"/>
      <c r="D166" s="5">
        <v>30000</v>
      </c>
      <c r="E166" s="1"/>
      <c r="F166" s="1"/>
      <c r="G166" s="1"/>
      <c r="H166" s="1"/>
    </row>
    <row r="168" spans="1:8" x14ac:dyDescent="0.3">
      <c r="A168" s="14" t="s">
        <v>58</v>
      </c>
      <c r="B168" s="14"/>
      <c r="C168" s="14"/>
      <c r="D168" s="14"/>
      <c r="E168" s="14"/>
      <c r="F168" s="14"/>
      <c r="G168" s="14"/>
      <c r="H168" s="14"/>
    </row>
    <row r="169" spans="1:8" x14ac:dyDescent="0.3">
      <c r="A169" s="2" t="s">
        <v>1</v>
      </c>
      <c r="B169" s="2" t="s">
        <v>2</v>
      </c>
      <c r="C169" s="2" t="s">
        <v>112</v>
      </c>
      <c r="D169" s="2" t="s">
        <v>111</v>
      </c>
      <c r="E169" s="2" t="s">
        <v>117</v>
      </c>
      <c r="F169" s="2" t="s">
        <v>2</v>
      </c>
      <c r="G169" s="2" t="s">
        <v>112</v>
      </c>
      <c r="H169" s="2" t="s">
        <v>111</v>
      </c>
    </row>
    <row r="170" spans="1:8" x14ac:dyDescent="0.3">
      <c r="A170" s="1" t="s">
        <v>106</v>
      </c>
      <c r="B170" s="1" t="s">
        <v>37</v>
      </c>
      <c r="C170" s="1"/>
      <c r="D170" s="4">
        <v>2500</v>
      </c>
      <c r="E170" s="1" t="s">
        <v>114</v>
      </c>
      <c r="F170" s="1" t="s">
        <v>152</v>
      </c>
      <c r="G170" s="1"/>
      <c r="H170" s="5">
        <v>2500</v>
      </c>
    </row>
    <row r="171" spans="1:8" x14ac:dyDescent="0.3">
      <c r="A171" s="1"/>
      <c r="B171" s="1"/>
      <c r="C171" s="1"/>
      <c r="D171" s="5">
        <v>2500</v>
      </c>
      <c r="E171" s="1"/>
      <c r="F171" s="1"/>
      <c r="G171" s="1"/>
      <c r="H171" s="5">
        <v>2500</v>
      </c>
    </row>
    <row r="172" spans="1:8" x14ac:dyDescent="0.3">
      <c r="A172" s="1" t="s">
        <v>8</v>
      </c>
      <c r="B172" s="1" t="s">
        <v>131</v>
      </c>
      <c r="C172" s="1"/>
      <c r="D172" s="5">
        <v>2500</v>
      </c>
      <c r="E172" s="1"/>
      <c r="F172" s="1"/>
      <c r="G172" s="1"/>
      <c r="H172" s="1"/>
    </row>
    <row r="174" spans="1:8" x14ac:dyDescent="0.3">
      <c r="A174" s="14" t="s">
        <v>59</v>
      </c>
      <c r="B174" s="14"/>
      <c r="C174" s="14"/>
      <c r="D174" s="14"/>
      <c r="E174" s="14"/>
      <c r="F174" s="14"/>
      <c r="G174" s="14"/>
      <c r="H174" s="14"/>
    </row>
    <row r="175" spans="1:8" x14ac:dyDescent="0.3">
      <c r="A175" s="2" t="s">
        <v>1</v>
      </c>
      <c r="B175" s="2" t="s">
        <v>2</v>
      </c>
      <c r="C175" s="2" t="s">
        <v>112</v>
      </c>
      <c r="D175" s="2" t="s">
        <v>111</v>
      </c>
      <c r="E175" s="2" t="s">
        <v>117</v>
      </c>
      <c r="F175" s="2" t="s">
        <v>2</v>
      </c>
      <c r="G175" s="2" t="s">
        <v>112</v>
      </c>
      <c r="H175" s="2" t="s">
        <v>111</v>
      </c>
    </row>
    <row r="176" spans="1:8" x14ac:dyDescent="0.3">
      <c r="A176" s="1" t="s">
        <v>108</v>
      </c>
      <c r="B176" s="1" t="s">
        <v>37</v>
      </c>
      <c r="C176" s="1"/>
      <c r="D176" s="4">
        <v>4000</v>
      </c>
      <c r="E176" s="1" t="s">
        <v>114</v>
      </c>
      <c r="F176" s="1" t="s">
        <v>130</v>
      </c>
      <c r="G176" s="1"/>
      <c r="H176" s="5">
        <v>4000</v>
      </c>
    </row>
    <row r="177" spans="1:8" x14ac:dyDescent="0.3">
      <c r="A177" s="1"/>
      <c r="B177" s="1"/>
      <c r="C177" s="1"/>
      <c r="D177" s="5">
        <v>4000</v>
      </c>
      <c r="E177" s="1"/>
      <c r="F177" s="1"/>
      <c r="G177" s="1"/>
      <c r="H177" s="5">
        <v>4000</v>
      </c>
    </row>
    <row r="178" spans="1:8" x14ac:dyDescent="0.3">
      <c r="A178" s="1" t="s">
        <v>8</v>
      </c>
      <c r="B178" s="1" t="s">
        <v>131</v>
      </c>
      <c r="C178" s="1"/>
      <c r="D178" s="5">
        <v>4000</v>
      </c>
      <c r="E178" s="1"/>
      <c r="F178" s="1"/>
      <c r="G178" s="1"/>
      <c r="H178" s="1"/>
    </row>
    <row r="180" spans="1:8" x14ac:dyDescent="0.3">
      <c r="A180" s="14" t="s">
        <v>165</v>
      </c>
      <c r="B180" s="14"/>
      <c r="C180" s="14"/>
      <c r="D180" s="14"/>
      <c r="E180" s="14"/>
      <c r="F180" s="14"/>
      <c r="G180" s="14"/>
      <c r="H180" s="14"/>
    </row>
    <row r="181" spans="1:8" x14ac:dyDescent="0.3">
      <c r="A181" s="2" t="s">
        <v>1</v>
      </c>
      <c r="B181" s="2" t="s">
        <v>2</v>
      </c>
      <c r="C181" s="2" t="s">
        <v>112</v>
      </c>
      <c r="D181" s="2" t="s">
        <v>111</v>
      </c>
      <c r="E181" s="2" t="s">
        <v>117</v>
      </c>
      <c r="F181" s="2" t="s">
        <v>2</v>
      </c>
      <c r="G181" s="2" t="s">
        <v>112</v>
      </c>
      <c r="H181" s="2" t="s">
        <v>111</v>
      </c>
    </row>
    <row r="182" spans="1:8" x14ac:dyDescent="0.3">
      <c r="A182" s="1" t="s">
        <v>109</v>
      </c>
      <c r="B182" s="1" t="s">
        <v>37</v>
      </c>
      <c r="C182" s="1"/>
      <c r="D182" s="4">
        <v>3000</v>
      </c>
      <c r="E182" s="1" t="s">
        <v>114</v>
      </c>
      <c r="F182" s="1" t="s">
        <v>130</v>
      </c>
      <c r="G182" s="1"/>
      <c r="H182" s="5">
        <v>3000</v>
      </c>
    </row>
    <row r="183" spans="1:8" x14ac:dyDescent="0.3">
      <c r="A183" s="1"/>
      <c r="B183" s="1"/>
      <c r="C183" s="1"/>
      <c r="D183" s="5">
        <v>3000</v>
      </c>
      <c r="E183" s="1"/>
      <c r="F183" s="1"/>
      <c r="G183" s="1"/>
      <c r="H183" s="5">
        <v>3000</v>
      </c>
    </row>
    <row r="184" spans="1:8" x14ac:dyDescent="0.3">
      <c r="A184" s="1" t="s">
        <v>8</v>
      </c>
      <c r="B184" s="1" t="s">
        <v>131</v>
      </c>
      <c r="C184" s="1"/>
      <c r="D184" s="5">
        <v>3000</v>
      </c>
      <c r="E184" s="1"/>
      <c r="F184" s="1"/>
      <c r="G184" s="1"/>
      <c r="H184" s="1"/>
    </row>
  </sheetData>
  <mergeCells count="27">
    <mergeCell ref="A168:H168"/>
    <mergeCell ref="A174:H174"/>
    <mergeCell ref="A180:H180"/>
    <mergeCell ref="A137:H137"/>
    <mergeCell ref="A144:H144"/>
    <mergeCell ref="A150:H150"/>
    <mergeCell ref="A156:H156"/>
    <mergeCell ref="A162:H162"/>
    <mergeCell ref="A106:H106"/>
    <mergeCell ref="A112:H112"/>
    <mergeCell ref="A118:H118"/>
    <mergeCell ref="A124:H124"/>
    <mergeCell ref="A130:H130"/>
    <mergeCell ref="A8:H8"/>
    <mergeCell ref="A2:H2"/>
    <mergeCell ref="A1:H1"/>
    <mergeCell ref="A94:H94"/>
    <mergeCell ref="A100:H100"/>
    <mergeCell ref="A67:H67"/>
    <mergeCell ref="A74:H74"/>
    <mergeCell ref="A82:H82"/>
    <mergeCell ref="A88:H88"/>
    <mergeCell ref="A30:H30"/>
    <mergeCell ref="A38:H38"/>
    <mergeCell ref="A46:H46"/>
    <mergeCell ref="A55:H55"/>
    <mergeCell ref="A61:H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CFEA-21DF-4135-9F62-E6A8B0D44BAB}">
  <dimension ref="A1:D29"/>
  <sheetViews>
    <sheetView zoomScale="92" workbookViewId="0">
      <selection activeCell="R8" sqref="R8"/>
    </sheetView>
  </sheetViews>
  <sheetFormatPr defaultRowHeight="14.4" x14ac:dyDescent="0.3"/>
  <cols>
    <col min="1" max="1" width="5.44140625" customWidth="1"/>
    <col min="2" max="2" width="30.6640625" customWidth="1"/>
    <col min="3" max="3" width="13.6640625" customWidth="1"/>
    <col min="4" max="4" width="13.44140625" customWidth="1"/>
  </cols>
  <sheetData>
    <row r="1" spans="1:4" x14ac:dyDescent="0.3">
      <c r="A1" s="16" t="s">
        <v>168</v>
      </c>
      <c r="B1" s="16"/>
      <c r="C1" s="16"/>
      <c r="D1" s="16"/>
    </row>
    <row r="2" spans="1:4" x14ac:dyDescent="0.3">
      <c r="A2" s="7" t="s">
        <v>166</v>
      </c>
      <c r="B2" s="7" t="s">
        <v>2</v>
      </c>
      <c r="C2" s="7" t="s">
        <v>167</v>
      </c>
      <c r="D2" s="7" t="s">
        <v>4</v>
      </c>
    </row>
    <row r="3" spans="1:4" x14ac:dyDescent="0.3">
      <c r="A3" s="1">
        <v>1</v>
      </c>
      <c r="B3" s="1" t="s">
        <v>48</v>
      </c>
      <c r="C3" s="4">
        <v>43300</v>
      </c>
      <c r="D3" s="1"/>
    </row>
    <row r="4" spans="1:4" x14ac:dyDescent="0.3">
      <c r="A4" s="1">
        <v>2</v>
      </c>
      <c r="B4" s="1" t="s">
        <v>11</v>
      </c>
      <c r="C4" s="4">
        <v>108800</v>
      </c>
      <c r="D4" s="1"/>
    </row>
    <row r="5" spans="1:4" x14ac:dyDescent="0.3">
      <c r="A5" s="1">
        <v>3</v>
      </c>
      <c r="B5" s="1" t="s">
        <v>15</v>
      </c>
      <c r="C5" s="4">
        <v>45000</v>
      </c>
      <c r="D5" s="1"/>
    </row>
    <row r="6" spans="1:4" x14ac:dyDescent="0.3">
      <c r="A6" s="1">
        <v>4</v>
      </c>
      <c r="B6" s="1" t="s">
        <v>169</v>
      </c>
      <c r="C6" s="4">
        <v>2000</v>
      </c>
      <c r="D6" s="1"/>
    </row>
    <row r="7" spans="1:4" x14ac:dyDescent="0.3">
      <c r="A7" s="1">
        <v>5</v>
      </c>
      <c r="B7" s="1" t="s">
        <v>80</v>
      </c>
      <c r="C7" s="1"/>
      <c r="D7" s="4">
        <v>200000</v>
      </c>
    </row>
    <row r="8" spans="1:4" x14ac:dyDescent="0.3">
      <c r="A8" s="1">
        <v>6</v>
      </c>
      <c r="B8" s="1" t="s">
        <v>170</v>
      </c>
      <c r="C8" s="1"/>
      <c r="D8" s="4">
        <v>72000</v>
      </c>
    </row>
    <row r="9" spans="1:4" x14ac:dyDescent="0.3">
      <c r="A9" s="1">
        <v>7</v>
      </c>
      <c r="B9" s="1" t="s">
        <v>171</v>
      </c>
      <c r="C9" s="1"/>
      <c r="D9" s="4">
        <v>1000</v>
      </c>
    </row>
    <row r="10" spans="1:4" x14ac:dyDescent="0.3">
      <c r="A10" s="1">
        <v>8</v>
      </c>
      <c r="B10" s="1" t="s">
        <v>172</v>
      </c>
      <c r="C10" s="1"/>
      <c r="D10" s="4">
        <v>3000</v>
      </c>
    </row>
    <row r="11" spans="1:4" x14ac:dyDescent="0.3">
      <c r="A11" s="1">
        <v>9</v>
      </c>
      <c r="B11" s="1" t="s">
        <v>19</v>
      </c>
      <c r="C11" s="4">
        <v>6000</v>
      </c>
      <c r="D11" s="1"/>
    </row>
    <row r="12" spans="1:4" x14ac:dyDescent="0.3">
      <c r="A12" s="1">
        <v>10</v>
      </c>
      <c r="B12" s="1" t="s">
        <v>150</v>
      </c>
      <c r="C12" s="4">
        <v>5000</v>
      </c>
      <c r="D12" s="1"/>
    </row>
    <row r="13" spans="1:4" x14ac:dyDescent="0.3">
      <c r="A13" s="1">
        <v>11</v>
      </c>
      <c r="B13" s="1" t="s">
        <v>151</v>
      </c>
      <c r="C13" s="4">
        <v>8000</v>
      </c>
      <c r="D13" s="1"/>
    </row>
    <row r="14" spans="1:4" x14ac:dyDescent="0.3">
      <c r="A14" s="1">
        <v>12</v>
      </c>
      <c r="B14" s="1" t="s">
        <v>173</v>
      </c>
      <c r="C14" s="4">
        <v>12000</v>
      </c>
      <c r="D14" s="1"/>
    </row>
    <row r="15" spans="1:4" x14ac:dyDescent="0.3">
      <c r="A15" s="1">
        <v>13</v>
      </c>
      <c r="B15" s="1" t="s">
        <v>154</v>
      </c>
      <c r="C15" s="4">
        <v>2000</v>
      </c>
      <c r="D15" s="1"/>
    </row>
    <row r="16" spans="1:4" x14ac:dyDescent="0.3">
      <c r="A16" s="1">
        <v>14</v>
      </c>
      <c r="B16" s="1" t="s">
        <v>174</v>
      </c>
      <c r="C16" s="4">
        <v>1500</v>
      </c>
      <c r="D16" s="1"/>
    </row>
    <row r="17" spans="1:4" x14ac:dyDescent="0.3">
      <c r="A17" s="1">
        <v>15</v>
      </c>
      <c r="B17" s="1" t="s">
        <v>156</v>
      </c>
      <c r="C17" s="4">
        <v>2500</v>
      </c>
      <c r="D17" s="1"/>
    </row>
    <row r="18" spans="1:4" x14ac:dyDescent="0.3">
      <c r="A18" s="1">
        <v>16</v>
      </c>
      <c r="B18" s="1" t="s">
        <v>157</v>
      </c>
      <c r="C18" s="1"/>
      <c r="D18" s="4">
        <v>3000</v>
      </c>
    </row>
    <row r="19" spans="1:4" x14ac:dyDescent="0.3">
      <c r="A19" s="1">
        <v>17</v>
      </c>
      <c r="B19" s="1" t="s">
        <v>175</v>
      </c>
      <c r="C19" s="4">
        <v>5000</v>
      </c>
      <c r="D19" s="1"/>
    </row>
    <row r="20" spans="1:4" x14ac:dyDescent="0.3">
      <c r="A20" s="1">
        <v>18</v>
      </c>
      <c r="B20" s="1" t="s">
        <v>51</v>
      </c>
      <c r="C20" s="1"/>
      <c r="D20" s="4">
        <v>9000</v>
      </c>
    </row>
    <row r="21" spans="1:4" x14ac:dyDescent="0.3">
      <c r="A21" s="1">
        <v>19</v>
      </c>
      <c r="B21" s="1" t="s">
        <v>176</v>
      </c>
      <c r="C21" s="4">
        <v>6000</v>
      </c>
      <c r="D21" s="1"/>
    </row>
    <row r="22" spans="1:4" x14ac:dyDescent="0.3">
      <c r="A22" s="1">
        <v>20</v>
      </c>
      <c r="B22" s="1" t="s">
        <v>50</v>
      </c>
      <c r="C22" s="4">
        <v>1200</v>
      </c>
      <c r="D22" s="1"/>
    </row>
    <row r="23" spans="1:4" x14ac:dyDescent="0.3">
      <c r="A23" s="1">
        <v>21</v>
      </c>
      <c r="B23" s="1" t="s">
        <v>177</v>
      </c>
      <c r="C23" s="1"/>
      <c r="D23" s="1">
        <v>800</v>
      </c>
    </row>
    <row r="24" spans="1:4" x14ac:dyDescent="0.3">
      <c r="A24" s="1">
        <v>22</v>
      </c>
      <c r="B24" s="1" t="s">
        <v>56</v>
      </c>
      <c r="C24" s="4">
        <v>1000</v>
      </c>
      <c r="D24" s="1"/>
    </row>
    <row r="25" spans="1:4" x14ac:dyDescent="0.3">
      <c r="A25" s="1">
        <v>23</v>
      </c>
      <c r="B25" s="1" t="s">
        <v>164</v>
      </c>
      <c r="C25" s="4">
        <v>30000</v>
      </c>
      <c r="D25" s="1"/>
    </row>
    <row r="26" spans="1:4" x14ac:dyDescent="0.3">
      <c r="A26" s="1">
        <v>24</v>
      </c>
      <c r="B26" s="1" t="s">
        <v>58</v>
      </c>
      <c r="C26" s="4">
        <v>2500</v>
      </c>
      <c r="D26" s="1"/>
    </row>
    <row r="27" spans="1:4" x14ac:dyDescent="0.3">
      <c r="A27" s="1">
        <v>25</v>
      </c>
      <c r="B27" s="1" t="s">
        <v>59</v>
      </c>
      <c r="C27" s="4">
        <v>4000</v>
      </c>
      <c r="D27" s="1"/>
    </row>
    <row r="28" spans="1:4" x14ac:dyDescent="0.3">
      <c r="A28" s="1">
        <v>26</v>
      </c>
      <c r="B28" s="1" t="s">
        <v>60</v>
      </c>
      <c r="C28" s="4">
        <v>3000</v>
      </c>
      <c r="D28" s="1"/>
    </row>
    <row r="29" spans="1:4" x14ac:dyDescent="0.3">
      <c r="A29" s="1"/>
      <c r="B29" s="7" t="s">
        <v>178</v>
      </c>
      <c r="C29" s="9">
        <f>SUM(C3:C28)</f>
        <v>288800</v>
      </c>
      <c r="D29" s="8">
        <f>SUM(D3:D28)</f>
        <v>288800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02D1-A15B-47A6-9EB9-0D031149C2AD}">
  <dimension ref="A1:F10"/>
  <sheetViews>
    <sheetView zoomScale="135" workbookViewId="0">
      <selection activeCell="A10" sqref="A10"/>
    </sheetView>
  </sheetViews>
  <sheetFormatPr defaultRowHeight="14.4" x14ac:dyDescent="0.3"/>
  <cols>
    <col min="1" max="1" width="26.33203125" customWidth="1"/>
    <col min="2" max="2" width="13.109375" customWidth="1"/>
    <col min="3" max="3" width="14.88671875" customWidth="1"/>
    <col min="4" max="4" width="27.6640625" customWidth="1"/>
    <col min="5" max="5" width="13.44140625" customWidth="1"/>
    <col min="6" max="6" width="13.5546875" customWidth="1"/>
  </cols>
  <sheetData>
    <row r="1" spans="1:6" x14ac:dyDescent="0.3">
      <c r="A1" s="17" t="s">
        <v>179</v>
      </c>
      <c r="B1" s="17"/>
      <c r="C1" s="17"/>
      <c r="D1" s="17"/>
      <c r="E1" s="17"/>
      <c r="F1" s="17"/>
    </row>
    <row r="2" spans="1:6" x14ac:dyDescent="0.3">
      <c r="A2" s="2" t="s">
        <v>2</v>
      </c>
      <c r="B2" s="2" t="s">
        <v>180</v>
      </c>
      <c r="C2" s="2" t="s">
        <v>111</v>
      </c>
      <c r="D2" s="2" t="s">
        <v>2</v>
      </c>
      <c r="E2" s="2" t="s">
        <v>111</v>
      </c>
      <c r="F2" s="2" t="s">
        <v>111</v>
      </c>
    </row>
    <row r="3" spans="1:6" x14ac:dyDescent="0.3">
      <c r="A3" s="1" t="s">
        <v>181</v>
      </c>
      <c r="B3" s="1"/>
      <c r="C3" s="1" t="s">
        <v>182</v>
      </c>
      <c r="D3" s="1" t="s">
        <v>185</v>
      </c>
      <c r="E3" s="4">
        <v>72000</v>
      </c>
      <c r="F3" s="1"/>
    </row>
    <row r="4" spans="1:6" x14ac:dyDescent="0.3">
      <c r="A4" s="1" t="s">
        <v>183</v>
      </c>
      <c r="B4" s="4">
        <v>45000</v>
      </c>
      <c r="C4" s="1"/>
      <c r="D4" s="1" t="s">
        <v>186</v>
      </c>
      <c r="E4" s="4">
        <v>2000</v>
      </c>
      <c r="F4" s="4">
        <f>SUM(E3-E4)</f>
        <v>70000</v>
      </c>
    </row>
    <row r="5" spans="1:6" x14ac:dyDescent="0.3">
      <c r="A5" s="1" t="s">
        <v>184</v>
      </c>
      <c r="B5" s="4">
        <v>1000</v>
      </c>
      <c r="C5" s="4">
        <f>SUM(B4-B5)</f>
        <v>44000</v>
      </c>
      <c r="D5" s="1" t="s">
        <v>202</v>
      </c>
      <c r="E5" s="1"/>
      <c r="F5" s="1" t="s">
        <v>182</v>
      </c>
    </row>
    <row r="6" spans="1:6" x14ac:dyDescent="0.3">
      <c r="A6" s="1" t="s">
        <v>207</v>
      </c>
      <c r="B6" s="4"/>
      <c r="C6" s="4"/>
      <c r="D6" s="1"/>
      <c r="E6" s="1"/>
      <c r="F6" s="1"/>
    </row>
    <row r="7" spans="1:6" x14ac:dyDescent="0.3">
      <c r="A7" s="1" t="s">
        <v>206</v>
      </c>
      <c r="B7" s="1"/>
      <c r="C7" s="4">
        <v>1200</v>
      </c>
      <c r="D7" s="1"/>
      <c r="E7" s="1"/>
      <c r="F7" s="1"/>
    </row>
    <row r="8" spans="1:6" x14ac:dyDescent="0.3">
      <c r="A8" s="1" t="s">
        <v>208</v>
      </c>
      <c r="B8" s="1"/>
      <c r="C8" s="4">
        <v>4000</v>
      </c>
      <c r="D8" s="1"/>
      <c r="E8" s="1"/>
      <c r="F8" s="1"/>
    </row>
    <row r="9" spans="1:6" x14ac:dyDescent="0.3">
      <c r="A9" s="1" t="s">
        <v>187</v>
      </c>
      <c r="B9" s="1"/>
      <c r="C9" s="5">
        <f>SUM(F4-C5-C7-C8)</f>
        <v>20800</v>
      </c>
      <c r="D9" s="1"/>
      <c r="E9" s="1"/>
      <c r="F9" s="1"/>
    </row>
    <row r="10" spans="1:6" x14ac:dyDescent="0.3">
      <c r="A10" s="1"/>
      <c r="B10" s="1"/>
      <c r="C10" s="5">
        <f>SUM(F10)</f>
        <v>70000</v>
      </c>
      <c r="D10" s="1"/>
      <c r="E10" s="1"/>
      <c r="F10" s="5">
        <f>SUM(F4)</f>
        <v>70000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C2F0-611F-41BB-BE20-B84B8620AFE1}">
  <dimension ref="A1:F12"/>
  <sheetViews>
    <sheetView zoomScale="148" workbookViewId="0">
      <selection activeCell="B13" sqref="B13"/>
    </sheetView>
  </sheetViews>
  <sheetFormatPr defaultRowHeight="14.4" x14ac:dyDescent="0.3"/>
  <cols>
    <col min="1" max="1" width="24.88671875" customWidth="1"/>
    <col min="2" max="2" width="11.109375" customWidth="1"/>
    <col min="3" max="3" width="13.44140625" customWidth="1"/>
    <col min="4" max="4" width="24.21875" customWidth="1"/>
    <col min="5" max="5" width="11.6640625" customWidth="1"/>
    <col min="6" max="6" width="14.44140625" customWidth="1"/>
  </cols>
  <sheetData>
    <row r="1" spans="1:6" x14ac:dyDescent="0.3">
      <c r="A1" s="18" t="s">
        <v>188</v>
      </c>
      <c r="B1" s="18"/>
      <c r="C1" s="18"/>
      <c r="D1" s="18"/>
      <c r="E1" s="18"/>
      <c r="F1" s="18"/>
    </row>
    <row r="2" spans="1:6" x14ac:dyDescent="0.3">
      <c r="A2" s="2" t="s">
        <v>160</v>
      </c>
      <c r="B2" s="2" t="s">
        <v>111</v>
      </c>
      <c r="C2" s="2" t="s">
        <v>111</v>
      </c>
      <c r="D2" s="2" t="s">
        <v>2</v>
      </c>
      <c r="E2" s="2" t="s">
        <v>111</v>
      </c>
      <c r="F2" s="2" t="s">
        <v>111</v>
      </c>
    </row>
    <row r="3" spans="1:6" x14ac:dyDescent="0.3">
      <c r="A3" s="1" t="s">
        <v>192</v>
      </c>
      <c r="B3" s="1"/>
      <c r="C3" s="4">
        <v>5000</v>
      </c>
      <c r="D3" s="1" t="s">
        <v>189</v>
      </c>
      <c r="E3" s="1"/>
      <c r="F3" s="4">
        <v>20800</v>
      </c>
    </row>
    <row r="4" spans="1:6" x14ac:dyDescent="0.3">
      <c r="A4" s="1" t="s">
        <v>193</v>
      </c>
      <c r="B4" s="1"/>
      <c r="C4" s="4">
        <v>8000</v>
      </c>
      <c r="D4" s="1" t="s">
        <v>190</v>
      </c>
      <c r="E4" s="1"/>
      <c r="F4" s="4">
        <v>3000</v>
      </c>
    </row>
    <row r="5" spans="1:6" x14ac:dyDescent="0.3">
      <c r="A5" s="1" t="s">
        <v>194</v>
      </c>
      <c r="B5" s="1"/>
      <c r="C5" s="4">
        <v>2000</v>
      </c>
      <c r="D5" s="1" t="s">
        <v>191</v>
      </c>
      <c r="E5" s="1"/>
      <c r="F5" s="1">
        <v>800</v>
      </c>
    </row>
    <row r="6" spans="1:6" x14ac:dyDescent="0.3">
      <c r="A6" s="1" t="s">
        <v>195</v>
      </c>
      <c r="B6" s="1"/>
      <c r="C6" s="4">
        <v>1500</v>
      </c>
      <c r="D6" s="1" t="s">
        <v>200</v>
      </c>
      <c r="E6" s="1"/>
      <c r="F6" s="5">
        <f>SUM(C11-F3-F4-F7-F5)</f>
        <v>900</v>
      </c>
    </row>
    <row r="7" spans="1:6" x14ac:dyDescent="0.3">
      <c r="A7" s="1" t="s">
        <v>196</v>
      </c>
      <c r="B7" s="1"/>
      <c r="C7" s="4">
        <v>2500</v>
      </c>
      <c r="D7" s="1"/>
      <c r="E7" s="1"/>
      <c r="F7" s="1"/>
    </row>
    <row r="8" spans="1:6" x14ac:dyDescent="0.3">
      <c r="A8" s="1" t="s">
        <v>197</v>
      </c>
      <c r="B8" s="1"/>
      <c r="C8" s="4">
        <v>1000</v>
      </c>
      <c r="D8" s="1"/>
      <c r="E8" s="1"/>
      <c r="F8" s="1"/>
    </row>
    <row r="9" spans="1:6" x14ac:dyDescent="0.3">
      <c r="A9" s="1" t="s">
        <v>198</v>
      </c>
      <c r="B9" s="1"/>
      <c r="C9" s="4">
        <v>2500</v>
      </c>
      <c r="D9" s="1"/>
      <c r="E9" s="1"/>
      <c r="F9" s="1"/>
    </row>
    <row r="10" spans="1:6" x14ac:dyDescent="0.3">
      <c r="A10" s="1" t="s">
        <v>199</v>
      </c>
      <c r="B10" s="1"/>
      <c r="C10" s="4">
        <v>3000</v>
      </c>
      <c r="D10" s="1"/>
      <c r="E10" s="1"/>
      <c r="F10" s="1"/>
    </row>
    <row r="11" spans="1:6" x14ac:dyDescent="0.3">
      <c r="A11" s="1"/>
      <c r="B11" s="1"/>
      <c r="C11" s="5">
        <f>SUM(C3:C10)</f>
        <v>25500</v>
      </c>
      <c r="D11" s="1"/>
      <c r="E11" s="1"/>
      <c r="F11" s="5">
        <f>SUM(C11)</f>
        <v>25500</v>
      </c>
    </row>
    <row r="12" spans="1:6" x14ac:dyDescent="0.3">
      <c r="C12" s="10"/>
      <c r="F12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5250-C297-4F59-843C-0F9ADE2DCB14}">
  <dimension ref="A1:F10"/>
  <sheetViews>
    <sheetView zoomScale="164" workbookViewId="0">
      <selection activeCell="E4" sqref="E4"/>
    </sheetView>
  </sheetViews>
  <sheetFormatPr defaultRowHeight="14.4" x14ac:dyDescent="0.3"/>
  <cols>
    <col min="1" max="1" width="23.77734375" customWidth="1"/>
    <col min="2" max="2" width="11.44140625" customWidth="1"/>
    <col min="3" max="3" width="10.5546875" customWidth="1"/>
    <col min="4" max="4" width="21.77734375" customWidth="1"/>
    <col min="5" max="5" width="12.5546875" customWidth="1"/>
    <col min="6" max="6" width="11.88671875" customWidth="1"/>
  </cols>
  <sheetData>
    <row r="1" spans="1:6" x14ac:dyDescent="0.3">
      <c r="A1" s="19" t="s">
        <v>209</v>
      </c>
      <c r="B1" s="19"/>
      <c r="C1" s="19"/>
      <c r="D1" s="19"/>
      <c r="E1" s="19"/>
      <c r="F1" s="19"/>
    </row>
    <row r="2" spans="1:6" x14ac:dyDescent="0.3">
      <c r="A2" s="2" t="s">
        <v>211</v>
      </c>
      <c r="B2" s="2" t="s">
        <v>111</v>
      </c>
      <c r="C2" s="2" t="s">
        <v>111</v>
      </c>
      <c r="D2" s="2" t="s">
        <v>210</v>
      </c>
      <c r="E2" s="2" t="s">
        <v>111</v>
      </c>
      <c r="F2" s="2" t="s">
        <v>111</v>
      </c>
    </row>
    <row r="3" spans="1:6" x14ac:dyDescent="0.3">
      <c r="A3" s="1" t="s">
        <v>212</v>
      </c>
      <c r="B3" s="4">
        <v>200000</v>
      </c>
      <c r="C3" s="1"/>
      <c r="D3" s="1" t="s">
        <v>218</v>
      </c>
      <c r="E3" s="1"/>
      <c r="F3" s="4">
        <v>43300</v>
      </c>
    </row>
    <row r="4" spans="1:6" x14ac:dyDescent="0.3">
      <c r="A4" s="1" t="s">
        <v>213</v>
      </c>
      <c r="B4" s="1">
        <v>900</v>
      </c>
      <c r="C4" s="1"/>
      <c r="D4" s="1" t="s">
        <v>219</v>
      </c>
      <c r="E4" s="1"/>
      <c r="F4" s="4">
        <v>108800</v>
      </c>
    </row>
    <row r="5" spans="1:6" x14ac:dyDescent="0.3">
      <c r="A5" s="1"/>
      <c r="B5" s="4">
        <v>199100</v>
      </c>
      <c r="C5" s="1"/>
      <c r="D5" s="1" t="s">
        <v>220</v>
      </c>
      <c r="E5" s="1"/>
      <c r="F5" s="4">
        <v>12000</v>
      </c>
    </row>
    <row r="6" spans="1:6" x14ac:dyDescent="0.3">
      <c r="A6" s="1" t="s">
        <v>214</v>
      </c>
      <c r="B6" s="4">
        <v>5000</v>
      </c>
      <c r="C6" s="4">
        <f>SUM(B5-B6)</f>
        <v>194100</v>
      </c>
      <c r="D6" s="1" t="s">
        <v>221</v>
      </c>
      <c r="E6" s="1"/>
      <c r="F6" s="4">
        <v>30000</v>
      </c>
    </row>
    <row r="7" spans="1:6" x14ac:dyDescent="0.3">
      <c r="A7" s="1" t="s">
        <v>215</v>
      </c>
      <c r="B7" s="1"/>
      <c r="C7" s="1"/>
      <c r="D7" s="1" t="s">
        <v>222</v>
      </c>
      <c r="E7" s="1"/>
      <c r="F7" s="1"/>
    </row>
    <row r="8" spans="1:6" x14ac:dyDescent="0.3">
      <c r="A8" s="1" t="s">
        <v>216</v>
      </c>
      <c r="B8" s="4">
        <v>3000</v>
      </c>
      <c r="C8" s="1"/>
      <c r="D8" s="1" t="s">
        <v>223</v>
      </c>
      <c r="E8" s="4">
        <v>6000</v>
      </c>
      <c r="F8" s="1"/>
    </row>
    <row r="9" spans="1:6" x14ac:dyDescent="0.3">
      <c r="A9" s="1" t="s">
        <v>217</v>
      </c>
      <c r="B9" s="4">
        <v>9000</v>
      </c>
      <c r="C9" s="4">
        <f>SUM(B8+B9)</f>
        <v>12000</v>
      </c>
      <c r="D9" s="1" t="s">
        <v>224</v>
      </c>
      <c r="E9" s="4">
        <v>6000</v>
      </c>
      <c r="F9" s="4">
        <f>SUM(E8+E9)</f>
        <v>12000</v>
      </c>
    </row>
    <row r="10" spans="1:6" x14ac:dyDescent="0.3">
      <c r="A10" s="2" t="s">
        <v>178</v>
      </c>
      <c r="B10" s="6"/>
      <c r="C10" s="5">
        <f>SUM(C6:C9)</f>
        <v>206100</v>
      </c>
      <c r="D10" s="2" t="s">
        <v>178</v>
      </c>
      <c r="E10" s="6"/>
      <c r="F10" s="5">
        <f>SUM(F3:F9)</f>
        <v>206100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CE5B-F00E-4FD5-B80C-21D8517436B7}">
  <dimension ref="A1:C41"/>
  <sheetViews>
    <sheetView workbookViewId="0">
      <selection sqref="A1:C41"/>
    </sheetView>
  </sheetViews>
  <sheetFormatPr defaultRowHeight="14.4" x14ac:dyDescent="0.3"/>
  <cols>
    <col min="2" max="2" width="80.109375" customWidth="1"/>
    <col min="3" max="3" width="88.6640625" customWidth="1"/>
  </cols>
  <sheetData>
    <row r="1" spans="1:3" x14ac:dyDescent="0.3">
      <c r="A1" s="20" t="s">
        <v>257</v>
      </c>
      <c r="B1" s="20"/>
      <c r="C1" s="31" t="s">
        <v>263</v>
      </c>
    </row>
    <row r="2" spans="1:3" x14ac:dyDescent="0.3">
      <c r="A2" s="52" t="s">
        <v>264</v>
      </c>
      <c r="B2" s="53"/>
      <c r="C2" s="28"/>
    </row>
    <row r="3" spans="1:3" x14ac:dyDescent="0.3">
      <c r="A3" s="25" t="s">
        <v>265</v>
      </c>
      <c r="B3" s="33" t="s">
        <v>266</v>
      </c>
      <c r="C3" s="29"/>
    </row>
    <row r="4" spans="1:3" x14ac:dyDescent="0.3">
      <c r="A4" s="22"/>
      <c r="B4" s="21"/>
      <c r="C4" s="29" t="s">
        <v>267</v>
      </c>
    </row>
    <row r="5" spans="1:3" x14ac:dyDescent="0.3">
      <c r="A5" s="23" t="s">
        <v>268</v>
      </c>
      <c r="B5" s="32">
        <v>164100</v>
      </c>
      <c r="C5" s="29" t="s">
        <v>269</v>
      </c>
    </row>
    <row r="6" spans="1:3" x14ac:dyDescent="0.3">
      <c r="A6" s="23" t="s">
        <v>258</v>
      </c>
      <c r="B6" s="32">
        <v>12000</v>
      </c>
      <c r="C6" s="29" t="s">
        <v>270</v>
      </c>
    </row>
    <row r="7" spans="1:3" x14ac:dyDescent="0.3">
      <c r="A7" s="24" t="s">
        <v>259</v>
      </c>
      <c r="B7" s="35">
        <v>13.675000000000001</v>
      </c>
      <c r="C7" s="30"/>
    </row>
    <row r="8" spans="1:3" x14ac:dyDescent="0.3">
      <c r="A8" s="26" t="s">
        <v>271</v>
      </c>
      <c r="B8" s="34" t="s">
        <v>272</v>
      </c>
      <c r="C8" s="29"/>
    </row>
    <row r="9" spans="1:3" x14ac:dyDescent="0.3">
      <c r="A9" s="22"/>
      <c r="B9" s="32"/>
      <c r="C9" s="29" t="s">
        <v>273</v>
      </c>
    </row>
    <row r="10" spans="1:3" x14ac:dyDescent="0.3">
      <c r="A10" s="23" t="s">
        <v>260</v>
      </c>
      <c r="B10" s="32">
        <v>164100</v>
      </c>
      <c r="C10" s="29" t="s">
        <v>269</v>
      </c>
    </row>
    <row r="11" spans="1:3" x14ac:dyDescent="0.3">
      <c r="A11" s="23" t="s">
        <v>258</v>
      </c>
      <c r="B11" s="32">
        <v>12000</v>
      </c>
      <c r="C11" s="29" t="s">
        <v>274</v>
      </c>
    </row>
    <row r="12" spans="1:3" x14ac:dyDescent="0.3">
      <c r="A12" s="24" t="s">
        <v>261</v>
      </c>
      <c r="B12" s="35">
        <v>13.675000000000001</v>
      </c>
      <c r="C12" s="30"/>
    </row>
    <row r="13" spans="1:3" x14ac:dyDescent="0.3">
      <c r="A13" s="37" t="s">
        <v>262</v>
      </c>
      <c r="B13" s="33" t="s">
        <v>275</v>
      </c>
      <c r="C13" s="28"/>
    </row>
    <row r="14" spans="1:3" x14ac:dyDescent="0.3">
      <c r="A14" s="22"/>
      <c r="B14" s="21"/>
      <c r="C14" s="29" t="s">
        <v>276</v>
      </c>
    </row>
    <row r="15" spans="1:3" x14ac:dyDescent="0.3">
      <c r="A15" s="23" t="s">
        <v>277</v>
      </c>
      <c r="B15" s="32">
        <v>152100</v>
      </c>
      <c r="C15" s="29" t="s">
        <v>278</v>
      </c>
    </row>
    <row r="16" spans="1:3" x14ac:dyDescent="0.3">
      <c r="A16" s="23" t="s">
        <v>258</v>
      </c>
      <c r="B16" s="32">
        <v>12000</v>
      </c>
      <c r="C16" s="29" t="s">
        <v>279</v>
      </c>
    </row>
    <row r="17" spans="1:3" x14ac:dyDescent="0.3">
      <c r="A17" s="24" t="s">
        <v>280</v>
      </c>
      <c r="B17" s="40">
        <v>12.675000000000001</v>
      </c>
      <c r="C17" s="30"/>
    </row>
    <row r="18" spans="1:3" x14ac:dyDescent="0.3">
      <c r="A18" s="26" t="s">
        <v>281</v>
      </c>
      <c r="B18" s="34" t="s">
        <v>282</v>
      </c>
      <c r="C18" s="29"/>
    </row>
    <row r="19" spans="1:3" x14ac:dyDescent="0.3">
      <c r="A19" s="22"/>
      <c r="B19" s="32"/>
      <c r="C19" s="29" t="s">
        <v>283</v>
      </c>
    </row>
    <row r="20" spans="1:3" x14ac:dyDescent="0.3">
      <c r="A20" s="23" t="s">
        <v>284</v>
      </c>
      <c r="B20" s="32">
        <v>12000</v>
      </c>
      <c r="C20" s="29" t="s">
        <v>285</v>
      </c>
    </row>
    <row r="21" spans="1:3" x14ac:dyDescent="0.3">
      <c r="A21" s="23" t="s">
        <v>286</v>
      </c>
      <c r="B21" s="32">
        <v>194100</v>
      </c>
      <c r="C21" s="29" t="s">
        <v>287</v>
      </c>
    </row>
    <row r="22" spans="1:3" x14ac:dyDescent="0.3">
      <c r="A22" s="24" t="s">
        <v>288</v>
      </c>
      <c r="B22" s="36">
        <v>6.1823802163833076E-2</v>
      </c>
      <c r="C22" s="30"/>
    </row>
    <row r="23" spans="1:3" x14ac:dyDescent="0.3">
      <c r="A23" s="27" t="s">
        <v>289</v>
      </c>
      <c r="B23" s="34" t="s">
        <v>290</v>
      </c>
      <c r="C23" s="29"/>
    </row>
    <row r="24" spans="1:3" x14ac:dyDescent="0.3">
      <c r="A24" s="27"/>
      <c r="B24" s="32"/>
      <c r="C24" s="29" t="s">
        <v>291</v>
      </c>
    </row>
    <row r="25" spans="1:3" x14ac:dyDescent="0.3">
      <c r="A25" s="23" t="s">
        <v>284</v>
      </c>
      <c r="B25" s="32">
        <v>12000</v>
      </c>
      <c r="C25" s="29" t="s">
        <v>292</v>
      </c>
    </row>
    <row r="26" spans="1:3" x14ac:dyDescent="0.3">
      <c r="A26" s="23" t="s">
        <v>293</v>
      </c>
      <c r="B26" s="32">
        <v>206100</v>
      </c>
      <c r="C26" s="29" t="s">
        <v>294</v>
      </c>
    </row>
    <row r="27" spans="1:3" x14ac:dyDescent="0.3">
      <c r="A27" s="24" t="s">
        <v>288</v>
      </c>
      <c r="B27" s="39">
        <v>5.8224163027656477E-2</v>
      </c>
      <c r="C27" s="30" t="s">
        <v>295</v>
      </c>
    </row>
    <row r="28" spans="1:3" x14ac:dyDescent="0.3">
      <c r="A28" s="25" t="s">
        <v>296</v>
      </c>
      <c r="B28" s="41" t="s">
        <v>297</v>
      </c>
      <c r="C28" s="28"/>
    </row>
    <row r="29" spans="1:3" x14ac:dyDescent="0.3">
      <c r="A29" s="27"/>
      <c r="B29" s="42"/>
      <c r="C29" s="29" t="s">
        <v>298</v>
      </c>
    </row>
    <row r="30" spans="1:3" x14ac:dyDescent="0.3">
      <c r="A30" s="23" t="s">
        <v>299</v>
      </c>
      <c r="B30" s="43">
        <v>70000</v>
      </c>
      <c r="C30" s="29" t="s">
        <v>300</v>
      </c>
    </row>
    <row r="31" spans="1:3" x14ac:dyDescent="0.3">
      <c r="A31" s="23" t="s">
        <v>293</v>
      </c>
      <c r="B31" s="43">
        <v>206100</v>
      </c>
      <c r="C31" s="29" t="s">
        <v>301</v>
      </c>
    </row>
    <row r="32" spans="1:3" x14ac:dyDescent="0.3">
      <c r="A32" s="24" t="s">
        <v>302</v>
      </c>
      <c r="B32" s="44">
        <v>0.33964095099466279</v>
      </c>
      <c r="C32" s="30" t="s">
        <v>303</v>
      </c>
    </row>
    <row r="33" spans="1:3" x14ac:dyDescent="0.3">
      <c r="A33" s="45" t="s">
        <v>304</v>
      </c>
      <c r="B33" s="41" t="s">
        <v>305</v>
      </c>
      <c r="C33" s="46"/>
    </row>
    <row r="34" spans="1:3" x14ac:dyDescent="0.3">
      <c r="A34" s="47" t="s">
        <v>306</v>
      </c>
      <c r="B34" s="43"/>
      <c r="C34" s="22"/>
    </row>
    <row r="35" spans="1:3" x14ac:dyDescent="0.3">
      <c r="A35" s="47" t="s">
        <v>307</v>
      </c>
      <c r="B35" s="43"/>
      <c r="C35" s="22"/>
    </row>
    <row r="36" spans="1:3" x14ac:dyDescent="0.3">
      <c r="A36" s="48" t="s">
        <v>308</v>
      </c>
      <c r="B36" s="49"/>
      <c r="C36" s="38"/>
    </row>
    <row r="37" spans="1:3" x14ac:dyDescent="0.3">
      <c r="A37" s="26" t="s">
        <v>309</v>
      </c>
      <c r="B37" s="41" t="s">
        <v>310</v>
      </c>
      <c r="C37" s="28"/>
    </row>
    <row r="38" spans="1:3" x14ac:dyDescent="0.3">
      <c r="A38" s="22"/>
      <c r="B38" s="50"/>
      <c r="C38" s="29"/>
    </row>
    <row r="39" spans="1:3" x14ac:dyDescent="0.3">
      <c r="A39" s="23" t="s">
        <v>299</v>
      </c>
      <c r="B39" s="50">
        <v>70000</v>
      </c>
      <c r="C39" s="29" t="s">
        <v>311</v>
      </c>
    </row>
    <row r="40" spans="1:3" x14ac:dyDescent="0.3">
      <c r="A40" s="23" t="s">
        <v>312</v>
      </c>
      <c r="B40" s="50">
        <v>148100</v>
      </c>
      <c r="C40" s="29" t="s">
        <v>313</v>
      </c>
    </row>
    <row r="41" spans="1:3" x14ac:dyDescent="0.3">
      <c r="A41" s="24" t="s">
        <v>314</v>
      </c>
      <c r="B41" s="51">
        <v>0.47265361242403781</v>
      </c>
      <c r="C41" s="30" t="s">
        <v>315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Entires</vt:lpstr>
      <vt:lpstr>Ledger</vt:lpstr>
      <vt:lpstr>Trail balance</vt:lpstr>
      <vt:lpstr>Trading account</vt:lpstr>
      <vt:lpstr>P&amp;L account</vt:lpstr>
      <vt:lpstr>Balance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2026-07-06T04:44:49Z</dcterms:created>
  <dcterms:modified xsi:type="dcterms:W3CDTF">2026-07-09T03:34:30Z</dcterms:modified>
</cp:coreProperties>
</file>