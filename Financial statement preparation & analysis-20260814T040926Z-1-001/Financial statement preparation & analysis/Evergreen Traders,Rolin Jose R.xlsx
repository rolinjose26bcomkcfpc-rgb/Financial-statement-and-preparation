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" sheetId="1" r:id="rId4"/>
    <sheet state="visible" name="Journal entries" sheetId="2" r:id="rId5"/>
    <sheet state="visible" name="Ledger" sheetId="3" r:id="rId6"/>
    <sheet state="visible" name="Trial balance" sheetId="4" r:id="rId7"/>
    <sheet state="visible" name="Trading account" sheetId="5" r:id="rId8"/>
    <sheet state="visible" name="P&amp;L" sheetId="6" r:id="rId9"/>
    <sheet state="visible" name="Balance sheet" sheetId="7" r:id="rId10"/>
    <sheet state="visible" name="Ratio analysis" sheetId="8" r:id="rId11"/>
  </sheets>
  <definedNames/>
  <calcPr/>
  <extLst>
    <ext uri="GoogleSheetsCustomDataVersion2">
      <go:sheetsCustomData xmlns:go="http://customooxmlschemas.google.com/" r:id="rId12" roundtripDataChecksum="JI+sVfDutQi7eLmBwhMCbrXkBJDMZBXIIiLtNxfgWG4="/>
    </ext>
  </extLst>
</workbook>
</file>

<file path=xl/sharedStrings.xml><?xml version="1.0" encoding="utf-8"?>
<sst xmlns="http://schemas.openxmlformats.org/spreadsheetml/2006/main" count="719" uniqueCount="309">
  <si>
    <t>The following balances were extracted from the books of M/s Evergreen Traders as on 1 September 2025. The following transactions took place during the month of September 2025.</t>
  </si>
  <si>
    <t>Sep 1: Started business with Cash ₹100,000.</t>
  </si>
  <si>
    <t>Sep 2: Opened a bank account with Commercial Bank and deposited Cash ₹45,000.</t>
  </si>
  <si>
    <t>Sep 3: Purchased Motor car for business use from Motor Corps on credit for ₹25,000.</t>
  </si>
  <si>
    <t>Sep 4: Bought furniture for cash ₹8,000.</t>
  </si>
  <si>
    <t>Sep 5: Purchased goods on credit from Miller Distributing for ₹18,000.</t>
  </si>
  <si>
    <t>Sep 7: Paid carriage inwards on the purchases in cash ₹1,200.</t>
  </si>
  <si>
    <t>Sep 8: Sold goods for cash ₹14,000.</t>
  </si>
  <si>
    <t>Sep 10: Sold goods on credit to Davis Retailers for ₹22,000.</t>
  </si>
  <si>
    <t>Sep 11: Paid factory cleaning and power expenses in cash ₹1,500.</t>
  </si>
  <si>
    <t>Sep 12: Returned defective goods to Miller Distributing worth ₹1,000.</t>
  </si>
  <si>
    <t>Sep 13: Davis Retailers returned damaged goods worth ₹2,000.</t>
  </si>
  <si>
    <t>Sep 14: Paid cash for office stationery ₹900.</t>
  </si>
  <si>
    <t>Sep 15: Received a cheque from Davis Retailers for ₹15,000 as partial payment.</t>
  </si>
  <si>
    <t>Sep 16: Paid Miller Distributing ₹10,000 by cheque.</t>
  </si>
  <si>
    <t>Sep 17: Purchased goods for cash ₹11,000.</t>
  </si>
  <si>
    <t>Sep 18: The owner withdrew cash from the bank for personal use ₹3,500.</t>
  </si>
  <si>
    <t>Sep 19: Paid factory manufacturing wages in cash ₹4,800.</t>
  </si>
  <si>
    <t>Sep 20: Sold goods for cash ₹16,500.</t>
  </si>
  <si>
    <t>Sep 21: Paid storefront advertising expenses in cash ₹3,000.</t>
  </si>
  <si>
    <t>Sep 22: Bought goods on credit from Miller Distributing for ₹12,000.</t>
  </si>
  <si>
    <t>Sep 23: Sold goods on credit to Davis Retailers for ₹19,000.</t>
  </si>
  <si>
    <t>Sep 24: Received commission in cash ₹1,800.</t>
  </si>
  <si>
    <t>Sep 25: Paid Motor Corps ₹10,000 by cheque toward the Motor car balance.</t>
  </si>
  <si>
    <t>Sep 26: Paid office rent by cheque ₹4,000.</t>
  </si>
  <si>
    <t>Sep 27: Paid carriage outwards on sales in cash ₹1,100.</t>
  </si>
  <si>
    <t>Sep 28: Received a cheque from Davis Retailers for ₹12,000.</t>
  </si>
  <si>
    <t>Sep 28: Paid general office administrative expenses in cash ₹1,600.</t>
  </si>
  <si>
    <t>Sep 29: Bank debited account for monthly service fees ₹400.</t>
  </si>
  <si>
    <t>Sep 30: Paid insurance premium for the office in cash ₹1,300.</t>
  </si>
  <si>
    <t>Sep 30: Paid office salaries by cheque ₹10,000.</t>
  </si>
  <si>
    <t xml:space="preserve"> Adjustments</t>
  </si>
  <si>
    <t>1. Closing Stock on September 30 is valued at ₹24,000.</t>
  </si>
  <si>
    <t xml:space="preserve">2. Depreciate Motor Car at 12% per annum </t>
  </si>
  <si>
    <t>3. Outstanding Office Salaries amount to ₹1,500.</t>
  </si>
  <si>
    <t>In the book of Evergreen Traders for the month end 30.09.2025</t>
  </si>
  <si>
    <t>Date</t>
  </si>
  <si>
    <t>Particulars</t>
  </si>
  <si>
    <t>L.F</t>
  </si>
  <si>
    <t>Debit ₹</t>
  </si>
  <si>
    <t>Credit₹</t>
  </si>
  <si>
    <t>Cash a/c</t>
  </si>
  <si>
    <t>Dr</t>
  </si>
  <si>
    <t>To Capital a/c</t>
  </si>
  <si>
    <t>(Being started business with cash )</t>
  </si>
  <si>
    <t>Bank a/c</t>
  </si>
  <si>
    <t>To cash a/c</t>
  </si>
  <si>
    <t>(Being cash deposited by bank)</t>
  </si>
  <si>
    <t>Motor car a/c</t>
  </si>
  <si>
    <t>To motor corps a/c</t>
  </si>
  <si>
    <t>(Being purchased motor car from motor corps on credit)</t>
  </si>
  <si>
    <t>Furniture a/c</t>
  </si>
  <si>
    <t>(Being purchased furniture for cash)</t>
  </si>
  <si>
    <t>Purchased a/c</t>
  </si>
  <si>
    <t>To Miller distributing a/c</t>
  </si>
  <si>
    <t>(Being purchased goods from miller distributing on credit)</t>
  </si>
  <si>
    <t>Carriage inwards a/c</t>
  </si>
  <si>
    <t>(Being paid carriage inwards for cash)</t>
  </si>
  <si>
    <t>To sales a/c</t>
  </si>
  <si>
    <t>(Being sold goods for cash)</t>
  </si>
  <si>
    <t>Davis retailers a/c</t>
  </si>
  <si>
    <t>(Being sold goods to davis retailers on credit)</t>
  </si>
  <si>
    <t>Factory expenses a/c</t>
  </si>
  <si>
    <t>(Being paid factory cleaning &amp; power expenses in cash)</t>
  </si>
  <si>
    <t>Millier distributing a/c</t>
  </si>
  <si>
    <t>To purchase return a/c</t>
  </si>
  <si>
    <t>(Being returned goodsto miller distributing)</t>
  </si>
  <si>
    <t>Sales return a/c</t>
  </si>
  <si>
    <t>To Davis retailers a/c</t>
  </si>
  <si>
    <t>(Being Davis retailer returned goods)</t>
  </si>
  <si>
    <t>Office stationery a/c</t>
  </si>
  <si>
    <t>(Being paid cash for office  stationery)</t>
  </si>
  <si>
    <t>(Being received cheque from Davis distributing)</t>
  </si>
  <si>
    <t>To bank a/c</t>
  </si>
  <si>
    <t>(Being paid miller distributing by cheque)</t>
  </si>
  <si>
    <t>(being purchased goods for cash)</t>
  </si>
  <si>
    <t>Drawings a/c</t>
  </si>
  <si>
    <t>(Being owner withdrew Cash for personal use)</t>
  </si>
  <si>
    <t xml:space="preserve">Wages a/c </t>
  </si>
  <si>
    <t>(Being paid factory manufacturing wages for cash)</t>
  </si>
  <si>
    <t>Advertisement expenses a/c</t>
  </si>
  <si>
    <t>(Being storefront advertisement expenses paid in cash)</t>
  </si>
  <si>
    <t>(Being purchased goods on credit from miller distributing)</t>
  </si>
  <si>
    <t>(Being sold goods on credit to Davis Retailer)</t>
  </si>
  <si>
    <t>To Commission Received a/c</t>
  </si>
  <si>
    <t xml:space="preserve">(Being commisssion received for cash) </t>
  </si>
  <si>
    <t>Motor corps a/c</t>
  </si>
  <si>
    <t>(Being paid Motor corp by cheque)</t>
  </si>
  <si>
    <t>Office rent a/c</t>
  </si>
  <si>
    <t>(being paid office rent by Cheque)</t>
  </si>
  <si>
    <t xml:space="preserve">carriage outwards a/c </t>
  </si>
  <si>
    <t>(Being paid carriage outwards on sale by cash)</t>
  </si>
  <si>
    <t xml:space="preserve"> </t>
  </si>
  <si>
    <t>(Being received cheque from Davis retailers)</t>
  </si>
  <si>
    <t>Administrative expenses a/c</t>
  </si>
  <si>
    <t>(Being paid office expenses in cash)</t>
  </si>
  <si>
    <t>Bank charges a/c</t>
  </si>
  <si>
    <t>(Being monthly services fees paid by bank)</t>
  </si>
  <si>
    <t>Insurance premium a/c</t>
  </si>
  <si>
    <t>(Being insurance premium for office in cash)</t>
  </si>
  <si>
    <t>Salary a/c</t>
  </si>
  <si>
    <t>(Being office salary by cheque)</t>
  </si>
  <si>
    <t>In the Books of M/s Evergreen Traders.Preparation of Ledger for the month ended 30th September 2025.</t>
  </si>
  <si>
    <t>Dr.</t>
  </si>
  <si>
    <t>Capital A/C</t>
  </si>
  <si>
    <t>Cr.</t>
  </si>
  <si>
    <t>J.F</t>
  </si>
  <si>
    <t>Amount₹</t>
  </si>
  <si>
    <t>To Balance B/d</t>
  </si>
  <si>
    <t>By Cash A/c</t>
  </si>
  <si>
    <t>By Balance C/d</t>
  </si>
  <si>
    <t>Cash A/C</t>
  </si>
  <si>
    <t>To Capital A/c</t>
  </si>
  <si>
    <t>By Bank A/c</t>
  </si>
  <si>
    <t>To Sales A/c</t>
  </si>
  <si>
    <t>By Furniture A/c</t>
  </si>
  <si>
    <t>By Carriage inward A/c</t>
  </si>
  <si>
    <t>To Commission  received</t>
  </si>
  <si>
    <t>By Factory expenses A/c</t>
  </si>
  <si>
    <t>By Stationery A/c</t>
  </si>
  <si>
    <t>By Purchase A/c</t>
  </si>
  <si>
    <t>By Wages A/c</t>
  </si>
  <si>
    <t>By Advertising expenses A/c</t>
  </si>
  <si>
    <t>By Carriage outward A/c</t>
  </si>
  <si>
    <t>By Administrative expenses A/c</t>
  </si>
  <si>
    <t>By Inscurance premium A/c</t>
  </si>
  <si>
    <t>Bank A/C</t>
  </si>
  <si>
    <t>To Cash A/c</t>
  </si>
  <si>
    <t>By Miller Distributing A/c</t>
  </si>
  <si>
    <t>To Davis Retailers A/c</t>
  </si>
  <si>
    <t>By Motor Car A/c</t>
  </si>
  <si>
    <t>By Rent A/c</t>
  </si>
  <si>
    <t>By Bank Charges A/c</t>
  </si>
  <si>
    <t>By Salaries A/c</t>
  </si>
  <si>
    <t>By drawings A/c</t>
  </si>
  <si>
    <t>By balance c/d</t>
  </si>
  <si>
    <t>Motor CarA/C</t>
  </si>
  <si>
    <t>To Motor corps A/c</t>
  </si>
  <si>
    <t>Motor Corps A/C</t>
  </si>
  <si>
    <t>To balance c/d</t>
  </si>
  <si>
    <t>By Balance B/d</t>
  </si>
  <si>
    <t>Furniture A/C</t>
  </si>
  <si>
    <t>Purchase A/C</t>
  </si>
  <si>
    <t>To Miller distributing A/c</t>
  </si>
  <si>
    <t>Sales A/C</t>
  </si>
  <si>
    <t>To Balance C/d</t>
  </si>
  <si>
    <t>By Davis retailers A/c</t>
  </si>
  <si>
    <t>Miller Distributing A/C</t>
  </si>
  <si>
    <t>To Purchase returns A/c</t>
  </si>
  <si>
    <t>To Bank A/c</t>
  </si>
  <si>
    <t>Carriage Inward A/C</t>
  </si>
  <si>
    <t>Davis Retailers A/C</t>
  </si>
  <si>
    <t>By Sales returns A/c</t>
  </si>
  <si>
    <t>Factory Expenses A/C</t>
  </si>
  <si>
    <t>Purchase Returns A/C</t>
  </si>
  <si>
    <t>Sales Returns A/C</t>
  </si>
  <si>
    <t>Stationery A/C</t>
  </si>
  <si>
    <t>Drawings A/C</t>
  </si>
  <si>
    <t>Wages A/C</t>
  </si>
  <si>
    <t>Advertising Expenses A/C</t>
  </si>
  <si>
    <t>Commission Received A/C</t>
  </si>
  <si>
    <t>Rent A/C</t>
  </si>
  <si>
    <t>Carriage outwards A/C</t>
  </si>
  <si>
    <t>Administrative Expenses A/C</t>
  </si>
  <si>
    <t>Bank Charges A/C</t>
  </si>
  <si>
    <t>Inscurance Premium A/C</t>
  </si>
  <si>
    <t>Salaries A/C</t>
  </si>
  <si>
    <t>In the Books of M/s Evergreen Traders.Preparation of Trial Balance for the month ended 30th September 2025.</t>
  </si>
  <si>
    <t>S.No</t>
  </si>
  <si>
    <t>Debit₹</t>
  </si>
  <si>
    <t>Cash A/c</t>
  </si>
  <si>
    <t>Bank A/c</t>
  </si>
  <si>
    <t>Motor Car A/c</t>
  </si>
  <si>
    <t>Furniture A/c</t>
  </si>
  <si>
    <t>Purchase A/c</t>
  </si>
  <si>
    <t>Carriage Inward A/c</t>
  </si>
  <si>
    <t>Davis Retailers A/c</t>
  </si>
  <si>
    <t>Factory Expenses A/c</t>
  </si>
  <si>
    <t>Sales Returns A/c</t>
  </si>
  <si>
    <t>Stationery A/c</t>
  </si>
  <si>
    <t>Drawings A/c</t>
  </si>
  <si>
    <t>Wages A/c</t>
  </si>
  <si>
    <t>Advertising Expenses A/c</t>
  </si>
  <si>
    <t>Rent A/c</t>
  </si>
  <si>
    <t>Carriage outward A/c</t>
  </si>
  <si>
    <t>Administrative Expenses A/c</t>
  </si>
  <si>
    <t>Bank Charges A/c</t>
  </si>
  <si>
    <t>Inscurance Premium A/c</t>
  </si>
  <si>
    <t>Salaries A/c</t>
  </si>
  <si>
    <t>Capital A/c</t>
  </si>
  <si>
    <t>Motor Corps A/c</t>
  </si>
  <si>
    <t>Sales A/c</t>
  </si>
  <si>
    <t>Miller Distributing A/c</t>
  </si>
  <si>
    <t>Purchase Returns A/c</t>
  </si>
  <si>
    <t>Commission Received A/c</t>
  </si>
  <si>
    <t>In the Books of M/s Evergreen Traders.Preparation of Trading Account for the month ended 30th September 2025.</t>
  </si>
  <si>
    <t xml:space="preserve">Particulars </t>
  </si>
  <si>
    <t>To Openimg Stock</t>
  </si>
  <si>
    <t>-</t>
  </si>
  <si>
    <t>By Sales</t>
  </si>
  <si>
    <t>To Purchase</t>
  </si>
  <si>
    <t>Less:Sales Returns</t>
  </si>
  <si>
    <t>Less:Purchase Returns</t>
  </si>
  <si>
    <t>By Closing Stock</t>
  </si>
  <si>
    <t>To Direct Expense</t>
  </si>
  <si>
    <t>Carriage Inwards</t>
  </si>
  <si>
    <t>Wages</t>
  </si>
  <si>
    <t>Factory expenses A/c</t>
  </si>
  <si>
    <t>To Gross Profit C/d</t>
  </si>
  <si>
    <t>To Stationery A/c</t>
  </si>
  <si>
    <t>By Gross Profit B/d</t>
  </si>
  <si>
    <t>To Advertising Expenses A/c</t>
  </si>
  <si>
    <t>By Commission Received A/c</t>
  </si>
  <si>
    <t>To Rent A/c</t>
  </si>
  <si>
    <t>To Carriage outward A/c</t>
  </si>
  <si>
    <t>To Administrative Expenses A/c</t>
  </si>
  <si>
    <t>To Bank Charges A/c</t>
  </si>
  <si>
    <t>To Inscurance Premium A/c</t>
  </si>
  <si>
    <t>To Salaries A/c</t>
  </si>
  <si>
    <t>Add:Outstanding Salaries</t>
  </si>
  <si>
    <t>To Depreciation on motor car</t>
  </si>
  <si>
    <t>To Net Profit</t>
  </si>
  <si>
    <t>Adjustment.</t>
  </si>
  <si>
    <t>Motor Car</t>
  </si>
  <si>
    <t>Less:Depriciation on motorcar.</t>
  </si>
  <si>
    <t>In the Books of M/s Evergreen Traders.Preparation of Balance Sheet for the month ended 30th September 2025.</t>
  </si>
  <si>
    <t>Liabilities</t>
  </si>
  <si>
    <t>Assets</t>
  </si>
  <si>
    <t>Capital</t>
  </si>
  <si>
    <t>Cash</t>
  </si>
  <si>
    <t>Add:Net Profit</t>
  </si>
  <si>
    <t>Bank</t>
  </si>
  <si>
    <t>Less:Drawings</t>
  </si>
  <si>
    <t xml:space="preserve">Less:Depreciation </t>
  </si>
  <si>
    <t>Current Liabilities:</t>
  </si>
  <si>
    <t>Fixed Assets:</t>
  </si>
  <si>
    <t>Sundry creditors</t>
  </si>
  <si>
    <t xml:space="preserve">Furniture </t>
  </si>
  <si>
    <t>Motor Corps</t>
  </si>
  <si>
    <t>Sundry debtors</t>
  </si>
  <si>
    <t>Miller Distributing</t>
  </si>
  <si>
    <t>Davis retailers</t>
  </si>
  <si>
    <t>Outstanding Salaries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</si>
  <si>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</si>
  <si>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</si>
  <si>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</si>
  <si>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</si>
  <si>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</si>
  <si>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</si>
  <si>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</si>
  <si>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2:1.</t>
    </r>
  </si>
  <si>
    <t>Current Liabilities</t>
  </si>
  <si>
    <t>The firm has ₹3.30 of current assets for every ₹1 of current liabilities.</t>
  </si>
  <si>
    <t>Current Ratio</t>
  </si>
  <si>
    <t>This indicates excellent short-term solvency and a very strong ability to meet its  current obligations.</t>
  </si>
  <si>
    <t>2.Quick Ratio</t>
  </si>
  <si>
    <t>(Current Assets - Inventory - Prepaid Expenses)/ Current Liabilities.</t>
  </si>
  <si>
    <t xml:space="preserve">Quick Assets 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</si>
  <si>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1:1.</t>
    </r>
  </si>
  <si>
    <t>The firm has ₹2.62 of quick (Liquid) assets for every ₹1 of current Liabilities.</t>
  </si>
  <si>
    <t>Quick Ratio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</si>
  <si>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</si>
  <si>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</si>
  <si>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</si>
  <si>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</si>
  <si>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0.5:1.</t>
    </r>
  </si>
  <si>
    <t>The firm has ₹1.49 of cash and cash equivalents for every ₹1 of current liabilities.</t>
  </si>
  <si>
    <t>Cash Ratio</t>
  </si>
  <si>
    <t>Comfortably meets all its short - term obligations using only its cash and cash equivalents.</t>
  </si>
  <si>
    <t>4.Debt-to-Equity Ratio</t>
  </si>
  <si>
    <t>Total Debt / Shareholder's Equity.</t>
  </si>
  <si>
    <t>Total Debt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</si>
  <si>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&lt; 1.0.</t>
    </r>
  </si>
  <si>
    <t>Shareholder's Equity</t>
  </si>
  <si>
    <t>The firm has ₹0.3064 of debt for every ₹1 of shareholder's equity.</t>
  </si>
  <si>
    <t>Debt-to-Equity Ratio</t>
  </si>
  <si>
    <t>This indicates a very low level  of financial leverage and a strong equity base.</t>
  </si>
  <si>
    <t>5.Debt-to-Assets Ratio</t>
  </si>
  <si>
    <t>Total Debt / Total Assets.</t>
  </si>
  <si>
    <r>
      <rPr>
        <rFont val="Aptos Narrow"/>
        <color theme="1"/>
        <sz val="11.0"/>
      </rPr>
      <t xml:space="preserve">Ideal Ratio </t>
    </r>
    <r>
      <rPr>
        <rFont val="Aptos Narrow"/>
        <b/>
        <color theme="1"/>
        <sz val="11.0"/>
      </rPr>
      <t>&lt;50%.</t>
    </r>
  </si>
  <si>
    <t>The firm has ₹0.2353of debt for every ₹1 of shareholder's equity.</t>
  </si>
  <si>
    <t>Total Assets</t>
  </si>
  <si>
    <t>The firm finances 23.53% of its assets thrpough debt.</t>
  </si>
  <si>
    <t>Debt-to-Assets Ratio</t>
  </si>
  <si>
    <t>Indicates strong financial stability and a low level of financial risk.</t>
  </si>
  <si>
    <t>6.Assets Turnover Ratio</t>
  </si>
  <si>
    <t>Net Sales / Total Assets.</t>
  </si>
  <si>
    <r>
      <rPr>
        <rFont val="Aptos Narrow"/>
        <color theme="1"/>
        <sz val="11.0"/>
      </rPr>
      <t>Ideal Ratio is</t>
    </r>
    <r>
      <rPr>
        <rFont val="Aptos Narrow"/>
        <b/>
        <color theme="1"/>
        <sz val="11.0"/>
      </rPr>
      <t xml:space="preserve"> &gt;2 times.</t>
    </r>
  </si>
  <si>
    <t>Total Net Sales</t>
  </si>
  <si>
    <t>The firm generates ₹0.454 of net sales for every ₹1 invested in total assets.</t>
  </si>
  <si>
    <r>
      <rPr>
        <rFont val="Aptos Narrow"/>
        <color theme="1"/>
        <sz val="11.0"/>
      </rPr>
      <t xml:space="preserve">If Ratio very low </t>
    </r>
    <r>
      <rPr>
        <rFont val="Aptos Narrow"/>
        <color theme="1"/>
        <sz val="11.0"/>
      </rPr>
      <t>→ poor Utilization of assets.</t>
    </r>
  </si>
  <si>
    <t>Assets Turnover Ratio</t>
  </si>
  <si>
    <t>It indicating that assets are very not being used efficiently to generate sales.</t>
  </si>
  <si>
    <t>7.Inventory Turnover Ratio</t>
  </si>
  <si>
    <t>COGS / Average Inventory.</t>
  </si>
  <si>
    <t>COGS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</si>
  <si>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5 - 10</t>
    </r>
    <r>
      <rPr>
        <rFont val="Aptos Narrow"/>
        <color theme="1"/>
        <sz val="11.0"/>
      </rPr>
      <t xml:space="preserve"> times.</t>
    </r>
  </si>
  <si>
    <t>Average Inventory</t>
  </si>
  <si>
    <t>The inventory turnover ratio is 3.96 times, which is below the ideal range of 5 - 10 tmies.</t>
  </si>
  <si>
    <t>Inventory Turnover Ratio.</t>
  </si>
  <si>
    <t>This indicates that inventoery is moving relatively slowly and the business can improve its inventory management and sales.</t>
  </si>
  <si>
    <t>8.Working Capital Turnover Ratio.</t>
  </si>
  <si>
    <t>Net Sales / Working Capital.</t>
  </si>
  <si>
    <t>Net Sales</t>
  </si>
  <si>
    <r>
      <rPr>
        <rFont val="Aptos Narrow"/>
        <color theme="1"/>
        <sz val="11.0"/>
      </rPr>
      <t xml:space="preserve">Ideal Ratio is </t>
    </r>
    <r>
      <rPr>
        <rFont val="Aptos Narrow"/>
        <b/>
        <color theme="1"/>
        <sz val="11.0"/>
      </rPr>
      <t>2 - 4.</t>
    </r>
  </si>
  <si>
    <t>Working Capital</t>
  </si>
  <si>
    <t>The working Capital Turnover Ratio of 0.853 times is below the ideal range of 2 - 4 times.</t>
  </si>
  <si>
    <t>Working Capital Turnover Ratio.</t>
  </si>
  <si>
    <t>The business is not using its working capital efficiently to generate sales.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</si>
</sst>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 * #,##0_ ;_ * \-#,##0_ ;_ * &quot;-&quot;??_ ;_ @_ "/>
    <numFmt numFmtId="166" formatCode="_ * #,##0.00_ ;_ * \-#,##0.00_ ;_ * &quot;-&quot;??_ ;_ @_ "/>
    <numFmt numFmtId="167" formatCode="_ * #,##0.0000_ ;_ * \-#,##0.0000_ ;_ * &quot;-&quot;??_ ;_ @_ "/>
    <numFmt numFmtId="168" formatCode="_ * #,##0.000_ ;_ * \-#,##0.000_ ;_ * &quot;-&quot;??_ ;_ @_ "/>
  </numFmts>
  <fonts count="12">
    <font>
      <sz val="11.0"/>
      <color theme="1"/>
      <name val="Aptos Narrow"/>
      <scheme val="minor"/>
    </font>
    <font>
      <b/>
      <sz val="12.0"/>
      <color theme="1"/>
      <name val="Times New Roman"/>
    </font>
    <font/>
    <font>
      <sz val="11.0"/>
      <color theme="1"/>
      <name val="Calibri"/>
    </font>
    <font>
      <sz val="11.0"/>
      <color theme="1"/>
      <name val="Times New Roman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6.0"/>
      <color theme="1"/>
      <name val="Times New Roman"/>
    </font>
    <font>
      <b/>
      <sz val="14.0"/>
      <color theme="1"/>
      <name val="Times New Roman"/>
    </font>
    <font>
      <sz val="11.0"/>
      <color theme="1"/>
      <name val="Play"/>
    </font>
    <font>
      <b/>
      <i/>
      <sz val="11.0"/>
      <color rgb="FFFF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45B0E1"/>
        <bgColor rgb="FF45B0E1"/>
      </patternFill>
    </fill>
    <fill>
      <patternFill patternType="solid">
        <fgColor rgb="FF83CAEB"/>
        <bgColor rgb="FF83CAEB"/>
      </patternFill>
    </fill>
  </fills>
  <borders count="25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9" fillId="2" fontId="4" numFmtId="0" xfId="0" applyBorder="1" applyFont="1"/>
    <xf borderId="12" fillId="2" fontId="3" numFmtId="0" xfId="0" applyAlignment="1" applyBorder="1" applyFont="1">
      <alignment vertical="bottom"/>
    </xf>
    <xf borderId="9" fillId="2" fontId="1" numFmtId="0" xfId="0" applyBorder="1" applyFont="1"/>
    <xf borderId="9" fillId="3" fontId="5" numFmtId="0" xfId="0" applyAlignment="1" applyBorder="1" applyFill="1" applyFont="1">
      <alignment horizontal="center"/>
    </xf>
    <xf borderId="13" fillId="4" fontId="5" numFmtId="0" xfId="0" applyAlignment="1" applyBorder="1" applyFill="1" applyFont="1">
      <alignment horizontal="center"/>
    </xf>
    <xf borderId="13" fillId="4" fontId="5" numFmtId="0" xfId="0" applyBorder="1" applyFont="1"/>
    <xf borderId="13" fillId="0" fontId="6" numFmtId="17" xfId="0" applyBorder="1" applyFont="1" applyNumberFormat="1"/>
    <xf borderId="13" fillId="0" fontId="6" numFmtId="0" xfId="0" applyBorder="1" applyFont="1"/>
    <xf borderId="13" fillId="0" fontId="6" numFmtId="3" xfId="0" applyBorder="1" applyFont="1" applyNumberFormat="1"/>
    <xf borderId="0" fillId="0" fontId="7" numFmtId="0" xfId="0" applyFont="1"/>
    <xf borderId="0" fillId="0" fontId="8" numFmtId="0" xfId="0" applyAlignment="1" applyFont="1">
      <alignment horizontal="center" shrinkToFit="0" wrapText="1"/>
    </xf>
    <xf borderId="0" fillId="0" fontId="9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right"/>
    </xf>
    <xf borderId="13" fillId="0" fontId="9" numFmtId="0" xfId="0" applyAlignment="1" applyBorder="1" applyFont="1">
      <alignment horizontal="center"/>
    </xf>
    <xf borderId="13" fillId="0" fontId="6" numFmtId="164" xfId="0" applyBorder="1" applyFont="1" applyNumberFormat="1"/>
    <xf borderId="13" fillId="0" fontId="6" numFmtId="165" xfId="0" applyBorder="1" applyFont="1" applyNumberFormat="1"/>
    <xf borderId="13" fillId="0" fontId="5" numFmtId="165" xfId="0" applyBorder="1" applyFont="1" applyNumberFormat="1"/>
    <xf borderId="0" fillId="0" fontId="6" numFmtId="165" xfId="0" applyFont="1" applyNumberForma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3" xfId="0" applyBorder="1" applyFont="1" applyNumberFormat="1"/>
    <xf borderId="0" fillId="0" fontId="6" numFmtId="164" xfId="0" applyFont="1" applyNumberFormat="1"/>
    <xf borderId="14" fillId="0" fontId="2" numFmtId="0" xfId="0" applyBorder="1" applyFont="1"/>
    <xf borderId="15" fillId="0" fontId="6" numFmtId="165" xfId="0" applyBorder="1" applyFont="1" applyNumberFormat="1"/>
    <xf borderId="16" fillId="0" fontId="6" numFmtId="165" xfId="0" applyBorder="1" applyFont="1" applyNumberFormat="1"/>
    <xf borderId="16" fillId="0" fontId="6" numFmtId="0" xfId="0" applyBorder="1" applyFont="1"/>
    <xf borderId="13" fillId="0" fontId="6" numFmtId="0" xfId="0" applyAlignment="1" applyBorder="1" applyFont="1">
      <alignment shrinkToFit="0" wrapText="1"/>
    </xf>
    <xf borderId="13" fillId="0" fontId="10" numFmtId="0" xfId="0" applyBorder="1" applyFont="1"/>
    <xf borderId="17" fillId="5" fontId="9" numFmtId="0" xfId="0" applyAlignment="1" applyBorder="1" applyFill="1" applyFont="1">
      <alignment horizontal="center"/>
    </xf>
    <xf borderId="18" fillId="0" fontId="2" numFmtId="0" xfId="0" applyBorder="1" applyFont="1"/>
    <xf borderId="19" fillId="5" fontId="9" numFmtId="0" xfId="0" applyAlignment="1" applyBorder="1" applyFont="1">
      <alignment horizontal="center"/>
    </xf>
    <xf borderId="17" fillId="5" fontId="11" numFmtId="0" xfId="0" applyAlignment="1" applyBorder="1" applyFont="1">
      <alignment horizontal="center"/>
    </xf>
    <xf borderId="20" fillId="0" fontId="2" numFmtId="0" xfId="0" applyBorder="1" applyFont="1"/>
    <xf borderId="21" fillId="5" fontId="6" numFmtId="0" xfId="0" applyBorder="1" applyFont="1"/>
    <xf borderId="22" fillId="6" fontId="5" numFmtId="0" xfId="0" applyBorder="1" applyFill="1" applyFont="1"/>
    <xf borderId="23" fillId="6" fontId="5" numFmtId="0" xfId="0" applyBorder="1" applyFont="1"/>
    <xf borderId="23" fillId="6" fontId="6" numFmtId="0" xfId="0" applyBorder="1" applyFont="1"/>
    <xf borderId="22" fillId="6" fontId="6" numFmtId="0" xfId="0" applyAlignment="1" applyBorder="1" applyFont="1">
      <alignment horizontal="right"/>
    </xf>
    <xf borderId="23" fillId="6" fontId="6" numFmtId="165" xfId="0" applyBorder="1" applyFont="1" applyNumberFormat="1"/>
    <xf borderId="23" fillId="6" fontId="5" numFmtId="166" xfId="0" applyBorder="1" applyFont="1" applyNumberFormat="1"/>
    <xf borderId="23" fillId="6" fontId="6" numFmtId="0" xfId="0" applyAlignment="1" applyBorder="1" applyFont="1">
      <alignment shrinkToFit="0" wrapText="1"/>
    </xf>
    <xf borderId="13" fillId="6" fontId="6" numFmtId="0" xfId="0" applyBorder="1" applyFont="1"/>
    <xf borderId="13" fillId="6" fontId="6" numFmtId="165" xfId="0" applyBorder="1" applyFont="1" applyNumberFormat="1"/>
    <xf borderId="23" fillId="6" fontId="5" numFmtId="165" xfId="0" applyAlignment="1" applyBorder="1" applyFont="1" applyNumberFormat="1">
      <alignment shrinkToFit="0" wrapText="1"/>
    </xf>
    <xf borderId="13" fillId="6" fontId="6" numFmtId="166" xfId="0" applyBorder="1" applyFont="1" applyNumberFormat="1"/>
    <xf borderId="23" fillId="6" fontId="5" numFmtId="165" xfId="0" applyBorder="1" applyFont="1" applyNumberFormat="1"/>
    <xf borderId="13" fillId="6" fontId="6" numFmtId="0" xfId="0" applyAlignment="1" applyBorder="1" applyFont="1">
      <alignment horizontal="right"/>
    </xf>
    <xf borderId="22" fillId="6" fontId="5" numFmtId="0" xfId="0" applyAlignment="1" applyBorder="1" applyFont="1">
      <alignment horizontal="left"/>
    </xf>
    <xf borderId="23" fillId="6" fontId="5" numFmtId="167" xfId="0" applyBorder="1" applyFont="1" applyNumberFormat="1"/>
    <xf borderId="23" fillId="6" fontId="5" numFmtId="168" xfId="0" applyBorder="1" applyFont="1" applyNumberFormat="1"/>
    <xf borderId="24" fillId="6" fontId="6" numFmtId="0" xfId="0" applyAlignment="1" applyBorder="1" applyFont="1">
      <alignment horizontal="right"/>
    </xf>
    <xf borderId="21" fillId="6" fontId="5" numFmtId="168" xfId="0" applyBorder="1" applyFont="1" applyNumberFormat="1"/>
    <xf borderId="21" fillId="6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4.25" customHeight="1">
      <c r="A2" s="4"/>
      <c r="I2" s="5"/>
    </row>
    <row r="3" ht="14.25" customHeight="1">
      <c r="A3" s="6"/>
      <c r="B3" s="7"/>
      <c r="C3" s="7"/>
      <c r="D3" s="7"/>
      <c r="E3" s="7"/>
      <c r="F3" s="7"/>
      <c r="G3" s="7"/>
      <c r="H3" s="7"/>
      <c r="I3" s="8"/>
    </row>
    <row r="4" ht="14.25" customHeight="1">
      <c r="A4" s="9"/>
      <c r="B4" s="10"/>
      <c r="C4" s="10"/>
      <c r="D4" s="10"/>
      <c r="E4" s="10"/>
      <c r="F4" s="10"/>
      <c r="G4" s="10"/>
      <c r="H4" s="10"/>
      <c r="I4" s="11"/>
    </row>
    <row r="5" ht="14.25" customHeight="1">
      <c r="A5" s="12" t="s">
        <v>1</v>
      </c>
      <c r="B5" s="10"/>
      <c r="C5" s="10"/>
      <c r="D5" s="10"/>
      <c r="E5" s="10"/>
      <c r="F5" s="10"/>
      <c r="G5" s="10"/>
      <c r="H5" s="10"/>
      <c r="I5" s="11"/>
    </row>
    <row r="6" ht="14.25" customHeight="1">
      <c r="A6" s="12" t="s">
        <v>2</v>
      </c>
      <c r="B6" s="10"/>
      <c r="C6" s="10"/>
      <c r="D6" s="10"/>
      <c r="E6" s="10"/>
      <c r="F6" s="10"/>
      <c r="G6" s="10"/>
      <c r="H6" s="10"/>
      <c r="I6" s="11"/>
    </row>
    <row r="7" ht="14.25" customHeight="1">
      <c r="A7" s="12" t="s">
        <v>3</v>
      </c>
      <c r="B7" s="10"/>
      <c r="C7" s="10"/>
      <c r="D7" s="10"/>
      <c r="E7" s="10"/>
      <c r="F7" s="10"/>
      <c r="G7" s="10"/>
      <c r="H7" s="10"/>
      <c r="I7" s="11"/>
    </row>
    <row r="8" ht="14.25" customHeight="1">
      <c r="A8" s="12" t="s">
        <v>4</v>
      </c>
      <c r="B8" s="10"/>
      <c r="C8" s="10"/>
      <c r="D8" s="10"/>
      <c r="E8" s="10"/>
      <c r="F8" s="10"/>
      <c r="G8" s="10"/>
      <c r="H8" s="10"/>
      <c r="I8" s="11"/>
    </row>
    <row r="9" ht="14.25" customHeight="1">
      <c r="A9" s="12" t="s">
        <v>5</v>
      </c>
      <c r="B9" s="10"/>
      <c r="C9" s="10"/>
      <c r="D9" s="10"/>
      <c r="E9" s="10"/>
      <c r="F9" s="10"/>
      <c r="G9" s="10"/>
      <c r="H9" s="10"/>
      <c r="I9" s="11"/>
    </row>
    <row r="10" ht="14.25" customHeight="1">
      <c r="A10" s="12" t="s">
        <v>6</v>
      </c>
      <c r="B10" s="10"/>
      <c r="C10" s="10"/>
      <c r="D10" s="10"/>
      <c r="E10" s="10"/>
      <c r="F10" s="10"/>
      <c r="G10" s="10"/>
      <c r="H10" s="10"/>
      <c r="I10" s="11"/>
    </row>
    <row r="11" ht="14.25" customHeight="1">
      <c r="A11" s="12" t="s">
        <v>7</v>
      </c>
      <c r="B11" s="10"/>
      <c r="C11" s="10"/>
      <c r="D11" s="10"/>
      <c r="E11" s="10"/>
      <c r="F11" s="10"/>
      <c r="G11" s="10"/>
      <c r="H11" s="10"/>
      <c r="I11" s="11"/>
    </row>
    <row r="12" ht="14.25" customHeight="1">
      <c r="A12" s="12" t="s">
        <v>8</v>
      </c>
      <c r="B12" s="10"/>
      <c r="C12" s="10"/>
      <c r="D12" s="10"/>
      <c r="E12" s="10"/>
      <c r="F12" s="10"/>
      <c r="G12" s="10"/>
      <c r="H12" s="10"/>
      <c r="I12" s="11"/>
    </row>
    <row r="13" ht="14.25" customHeight="1">
      <c r="A13" s="12" t="s">
        <v>9</v>
      </c>
      <c r="B13" s="10"/>
      <c r="C13" s="10"/>
      <c r="D13" s="10"/>
      <c r="E13" s="10"/>
      <c r="F13" s="10"/>
      <c r="G13" s="10"/>
      <c r="H13" s="10"/>
      <c r="I13" s="11"/>
    </row>
    <row r="14" ht="14.25" customHeight="1">
      <c r="A14" s="12" t="s">
        <v>10</v>
      </c>
      <c r="B14" s="10"/>
      <c r="C14" s="10"/>
      <c r="D14" s="10"/>
      <c r="E14" s="10"/>
      <c r="F14" s="10"/>
      <c r="G14" s="10"/>
      <c r="H14" s="10"/>
      <c r="I14" s="11"/>
    </row>
    <row r="15" ht="14.25" customHeight="1">
      <c r="A15" s="12" t="s">
        <v>11</v>
      </c>
      <c r="B15" s="10"/>
      <c r="C15" s="10"/>
      <c r="D15" s="10"/>
      <c r="E15" s="10"/>
      <c r="F15" s="10"/>
      <c r="G15" s="10"/>
      <c r="H15" s="10"/>
      <c r="I15" s="11"/>
    </row>
    <row r="16" ht="14.25" customHeight="1">
      <c r="A16" s="12" t="s">
        <v>12</v>
      </c>
      <c r="B16" s="10"/>
      <c r="C16" s="10"/>
      <c r="D16" s="10"/>
      <c r="E16" s="10"/>
      <c r="F16" s="10"/>
      <c r="G16" s="10"/>
      <c r="H16" s="10"/>
      <c r="I16" s="11"/>
    </row>
    <row r="17" ht="14.25" customHeight="1">
      <c r="A17" s="12" t="s">
        <v>13</v>
      </c>
      <c r="B17" s="10"/>
      <c r="C17" s="10"/>
      <c r="D17" s="10"/>
      <c r="E17" s="10"/>
      <c r="F17" s="10"/>
      <c r="G17" s="10"/>
      <c r="H17" s="10"/>
      <c r="I17" s="11"/>
    </row>
    <row r="18" ht="14.25" customHeight="1">
      <c r="A18" s="12" t="s">
        <v>14</v>
      </c>
      <c r="B18" s="10"/>
      <c r="C18" s="10"/>
      <c r="D18" s="10"/>
      <c r="E18" s="10"/>
      <c r="F18" s="10"/>
      <c r="G18" s="10"/>
      <c r="H18" s="10"/>
      <c r="I18" s="11"/>
    </row>
    <row r="19" ht="14.25" customHeight="1">
      <c r="A19" s="12" t="s">
        <v>15</v>
      </c>
      <c r="B19" s="10"/>
      <c r="C19" s="10"/>
      <c r="D19" s="10"/>
      <c r="E19" s="10"/>
      <c r="F19" s="10"/>
      <c r="G19" s="10"/>
      <c r="H19" s="10"/>
      <c r="I19" s="11"/>
    </row>
    <row r="20" ht="14.25" customHeight="1">
      <c r="A20" s="12" t="s">
        <v>16</v>
      </c>
      <c r="B20" s="10"/>
      <c r="C20" s="10"/>
      <c r="D20" s="10"/>
      <c r="E20" s="10"/>
      <c r="F20" s="10"/>
      <c r="G20" s="10"/>
      <c r="H20" s="10"/>
      <c r="I20" s="11"/>
    </row>
    <row r="21" ht="14.25" customHeight="1">
      <c r="A21" s="12" t="s">
        <v>17</v>
      </c>
      <c r="B21" s="10"/>
      <c r="C21" s="10"/>
      <c r="D21" s="10"/>
      <c r="E21" s="10"/>
      <c r="F21" s="10"/>
      <c r="G21" s="10"/>
      <c r="H21" s="11"/>
      <c r="I21" s="13"/>
    </row>
    <row r="22" ht="14.25" customHeight="1">
      <c r="A22" s="12" t="s">
        <v>18</v>
      </c>
      <c r="B22" s="10"/>
      <c r="C22" s="10"/>
      <c r="D22" s="10"/>
      <c r="E22" s="10"/>
      <c r="F22" s="10"/>
      <c r="G22" s="10"/>
      <c r="H22" s="11"/>
      <c r="I22" s="13"/>
    </row>
    <row r="23" ht="14.25" customHeight="1">
      <c r="A23" s="12" t="s">
        <v>19</v>
      </c>
      <c r="B23" s="10"/>
      <c r="C23" s="10"/>
      <c r="D23" s="10"/>
      <c r="E23" s="10"/>
      <c r="F23" s="10"/>
      <c r="G23" s="10"/>
      <c r="H23" s="11"/>
      <c r="I23" s="13"/>
    </row>
    <row r="24" ht="14.25" customHeight="1">
      <c r="A24" s="12" t="s">
        <v>20</v>
      </c>
      <c r="B24" s="10"/>
      <c r="C24" s="10"/>
      <c r="D24" s="10"/>
      <c r="E24" s="10"/>
      <c r="F24" s="10"/>
      <c r="G24" s="10"/>
      <c r="H24" s="11"/>
      <c r="I24" s="13"/>
    </row>
    <row r="25" ht="14.25" customHeight="1">
      <c r="A25" s="12" t="s">
        <v>21</v>
      </c>
      <c r="B25" s="10"/>
      <c r="C25" s="10"/>
      <c r="D25" s="10"/>
      <c r="E25" s="10"/>
      <c r="F25" s="10"/>
      <c r="G25" s="10"/>
      <c r="H25" s="11"/>
      <c r="I25" s="13"/>
    </row>
    <row r="26" ht="14.25" customHeight="1">
      <c r="A26" s="12" t="s">
        <v>22</v>
      </c>
      <c r="B26" s="10"/>
      <c r="C26" s="10"/>
      <c r="D26" s="10"/>
      <c r="E26" s="10"/>
      <c r="F26" s="10"/>
      <c r="G26" s="10"/>
      <c r="H26" s="11"/>
      <c r="I26" s="13"/>
    </row>
    <row r="27" ht="14.25" customHeight="1">
      <c r="A27" s="12" t="s">
        <v>23</v>
      </c>
      <c r="B27" s="10"/>
      <c r="C27" s="10"/>
      <c r="D27" s="10"/>
      <c r="E27" s="10"/>
      <c r="F27" s="10"/>
      <c r="G27" s="10"/>
      <c r="H27" s="11"/>
      <c r="I27" s="13"/>
    </row>
    <row r="28" ht="14.25" customHeight="1">
      <c r="A28" s="12" t="s">
        <v>24</v>
      </c>
      <c r="B28" s="10"/>
      <c r="C28" s="10"/>
      <c r="D28" s="10"/>
      <c r="E28" s="10"/>
      <c r="F28" s="10"/>
      <c r="G28" s="10"/>
      <c r="H28" s="11"/>
      <c r="I28" s="13"/>
    </row>
    <row r="29" ht="14.25" customHeight="1">
      <c r="A29" s="12" t="s">
        <v>25</v>
      </c>
      <c r="B29" s="10"/>
      <c r="C29" s="10"/>
      <c r="D29" s="10"/>
      <c r="E29" s="10"/>
      <c r="F29" s="10"/>
      <c r="G29" s="10"/>
      <c r="H29" s="11"/>
      <c r="I29" s="13"/>
    </row>
    <row r="30" ht="14.25" customHeight="1">
      <c r="A30" s="12" t="s">
        <v>26</v>
      </c>
      <c r="B30" s="10"/>
      <c r="C30" s="10"/>
      <c r="D30" s="10"/>
      <c r="E30" s="10"/>
      <c r="F30" s="10"/>
      <c r="G30" s="10"/>
      <c r="H30" s="11"/>
      <c r="I30" s="13"/>
    </row>
    <row r="31" ht="14.25" customHeight="1">
      <c r="A31" s="12" t="s">
        <v>27</v>
      </c>
      <c r="B31" s="10"/>
      <c r="C31" s="10"/>
      <c r="D31" s="10"/>
      <c r="E31" s="10"/>
      <c r="F31" s="10"/>
      <c r="G31" s="10"/>
      <c r="H31" s="11"/>
      <c r="I31" s="13"/>
    </row>
    <row r="32" ht="14.25" customHeight="1">
      <c r="A32" s="12" t="s">
        <v>28</v>
      </c>
      <c r="B32" s="10"/>
      <c r="C32" s="10"/>
      <c r="D32" s="10"/>
      <c r="E32" s="10"/>
      <c r="F32" s="10"/>
      <c r="G32" s="10"/>
      <c r="H32" s="11"/>
      <c r="I32" s="13"/>
    </row>
    <row r="33" ht="14.25" customHeight="1">
      <c r="A33" s="12" t="s">
        <v>29</v>
      </c>
      <c r="B33" s="10"/>
      <c r="C33" s="10"/>
      <c r="D33" s="10"/>
      <c r="E33" s="10"/>
      <c r="F33" s="10"/>
      <c r="G33" s="10"/>
      <c r="H33" s="11"/>
      <c r="I33" s="13"/>
    </row>
    <row r="34" ht="14.25" customHeight="1">
      <c r="A34" s="12" t="s">
        <v>30</v>
      </c>
      <c r="B34" s="10"/>
      <c r="C34" s="10"/>
      <c r="D34" s="10"/>
      <c r="E34" s="10"/>
      <c r="F34" s="10"/>
      <c r="G34" s="10"/>
      <c r="H34" s="11"/>
      <c r="I34" s="13"/>
    </row>
    <row r="35" ht="14.25" customHeight="1">
      <c r="A35" s="9"/>
      <c r="B35" s="10"/>
      <c r="C35" s="10"/>
      <c r="D35" s="10"/>
      <c r="E35" s="10"/>
      <c r="F35" s="10"/>
      <c r="G35" s="10"/>
      <c r="H35" s="11"/>
      <c r="I35" s="13"/>
    </row>
    <row r="36" ht="14.25" customHeight="1">
      <c r="A36" s="14" t="s">
        <v>31</v>
      </c>
      <c r="B36" s="10"/>
      <c r="C36" s="10"/>
      <c r="D36" s="10"/>
      <c r="E36" s="10"/>
      <c r="F36" s="10"/>
      <c r="G36" s="10"/>
      <c r="H36" s="11"/>
      <c r="I36" s="13"/>
    </row>
    <row r="37" ht="14.25" customHeight="1">
      <c r="A37" s="12" t="s">
        <v>32</v>
      </c>
      <c r="B37" s="10"/>
      <c r="C37" s="10"/>
      <c r="D37" s="10"/>
      <c r="E37" s="10"/>
      <c r="F37" s="10"/>
      <c r="G37" s="10"/>
      <c r="H37" s="11"/>
      <c r="I37" s="13"/>
    </row>
    <row r="38" ht="14.25" customHeight="1">
      <c r="A38" s="12" t="s">
        <v>33</v>
      </c>
      <c r="B38" s="10"/>
      <c r="C38" s="10"/>
      <c r="D38" s="10"/>
      <c r="E38" s="10"/>
      <c r="F38" s="10"/>
      <c r="G38" s="10"/>
      <c r="H38" s="11"/>
      <c r="I38" s="13"/>
    </row>
    <row r="39" ht="14.25" customHeight="1">
      <c r="A39" s="12" t="s">
        <v>34</v>
      </c>
      <c r="B39" s="10"/>
      <c r="C39" s="10"/>
      <c r="D39" s="10"/>
      <c r="E39" s="10"/>
      <c r="F39" s="10"/>
      <c r="G39" s="10"/>
      <c r="H39" s="11"/>
      <c r="I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A1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8:H38"/>
    <mergeCell ref="A39:H39"/>
    <mergeCell ref="A31:H31"/>
    <mergeCell ref="A32:H32"/>
    <mergeCell ref="A33:H33"/>
    <mergeCell ref="A34:H34"/>
    <mergeCell ref="A35:H35"/>
    <mergeCell ref="A36:H36"/>
    <mergeCell ref="A37:H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7.0"/>
    <col customWidth="1" min="3" max="4" width="3.63"/>
    <col customWidth="1" min="5" max="26" width="8.63"/>
  </cols>
  <sheetData>
    <row r="1" ht="14.25" customHeight="1">
      <c r="A1" s="15" t="s">
        <v>35</v>
      </c>
      <c r="B1" s="10"/>
      <c r="C1" s="10"/>
      <c r="D1" s="10"/>
      <c r="E1" s="10"/>
      <c r="F1" s="11"/>
    </row>
    <row r="2" ht="14.25" customHeight="1">
      <c r="A2" s="16" t="s">
        <v>36</v>
      </c>
      <c r="B2" s="16" t="s">
        <v>37</v>
      </c>
      <c r="C2" s="16"/>
      <c r="D2" s="17" t="s">
        <v>38</v>
      </c>
      <c r="E2" s="16" t="s">
        <v>39</v>
      </c>
      <c r="F2" s="16" t="s">
        <v>40</v>
      </c>
    </row>
    <row r="3" ht="14.25" customHeight="1">
      <c r="A3" s="18">
        <v>37135.0</v>
      </c>
      <c r="B3" s="19" t="s">
        <v>41</v>
      </c>
      <c r="C3" s="19" t="s">
        <v>42</v>
      </c>
      <c r="D3" s="19"/>
      <c r="E3" s="19">
        <v>100000.0</v>
      </c>
      <c r="F3" s="19"/>
    </row>
    <row r="4" ht="14.25" customHeight="1">
      <c r="A4" s="19"/>
      <c r="B4" s="19" t="s">
        <v>43</v>
      </c>
      <c r="C4" s="19"/>
      <c r="D4" s="19"/>
      <c r="E4" s="19"/>
      <c r="F4" s="19">
        <v>100000.0</v>
      </c>
    </row>
    <row r="5" ht="14.25" customHeight="1">
      <c r="A5" s="19"/>
      <c r="B5" s="19" t="s">
        <v>44</v>
      </c>
      <c r="C5" s="19"/>
      <c r="D5" s="19"/>
      <c r="E5" s="19"/>
      <c r="F5" s="19"/>
    </row>
    <row r="6" ht="14.25" customHeight="1">
      <c r="A6" s="18">
        <v>37500.0</v>
      </c>
      <c r="B6" s="19" t="s">
        <v>45</v>
      </c>
      <c r="C6" s="19" t="s">
        <v>42</v>
      </c>
      <c r="D6" s="19"/>
      <c r="E6" s="20">
        <v>45000.0</v>
      </c>
      <c r="F6" s="19"/>
    </row>
    <row r="7" ht="14.25" customHeight="1">
      <c r="A7" s="19"/>
      <c r="B7" s="19" t="s">
        <v>46</v>
      </c>
      <c r="C7" s="19"/>
      <c r="D7" s="19"/>
      <c r="E7" s="19"/>
      <c r="F7" s="20">
        <v>45000.0</v>
      </c>
    </row>
    <row r="8" ht="14.25" customHeight="1">
      <c r="A8" s="19"/>
      <c r="B8" s="19" t="s">
        <v>47</v>
      </c>
      <c r="C8" s="19"/>
      <c r="D8" s="19"/>
      <c r="E8" s="19"/>
      <c r="F8" s="19"/>
    </row>
    <row r="9" ht="14.25" customHeight="1">
      <c r="A9" s="18">
        <v>37865.0</v>
      </c>
      <c r="B9" s="19" t="s">
        <v>48</v>
      </c>
      <c r="C9" s="19" t="s">
        <v>42</v>
      </c>
      <c r="D9" s="19"/>
      <c r="E9" s="20">
        <v>25000.0</v>
      </c>
      <c r="F9" s="19"/>
    </row>
    <row r="10" ht="14.25" customHeight="1">
      <c r="A10" s="19"/>
      <c r="B10" s="19" t="s">
        <v>49</v>
      </c>
      <c r="C10" s="19"/>
      <c r="D10" s="19"/>
      <c r="E10" s="19"/>
      <c r="F10" s="20">
        <v>25000.0</v>
      </c>
    </row>
    <row r="11" ht="14.25" customHeight="1">
      <c r="A11" s="19"/>
      <c r="B11" s="19" t="s">
        <v>50</v>
      </c>
      <c r="C11" s="19"/>
      <c r="D11" s="19"/>
      <c r="E11" s="19"/>
      <c r="F11" s="19"/>
    </row>
    <row r="12" ht="14.25" customHeight="1">
      <c r="A12" s="18">
        <v>38231.0</v>
      </c>
      <c r="B12" s="19" t="s">
        <v>51</v>
      </c>
      <c r="C12" s="19" t="s">
        <v>42</v>
      </c>
      <c r="D12" s="19"/>
      <c r="E12" s="20">
        <v>8000.0</v>
      </c>
      <c r="F12" s="19"/>
    </row>
    <row r="13" ht="14.25" customHeight="1">
      <c r="A13" s="19"/>
      <c r="B13" s="19" t="s">
        <v>46</v>
      </c>
      <c r="C13" s="19"/>
      <c r="D13" s="19"/>
      <c r="E13" s="19"/>
      <c r="F13" s="20">
        <v>8000.0</v>
      </c>
    </row>
    <row r="14" ht="14.25" customHeight="1">
      <c r="A14" s="19"/>
      <c r="B14" s="19" t="s">
        <v>52</v>
      </c>
      <c r="C14" s="19"/>
      <c r="D14" s="19"/>
      <c r="E14" s="19"/>
      <c r="F14" s="19"/>
    </row>
    <row r="15" ht="14.25" customHeight="1">
      <c r="A15" s="18">
        <v>38596.0</v>
      </c>
      <c r="B15" s="19" t="s">
        <v>53</v>
      </c>
      <c r="C15" s="19" t="s">
        <v>42</v>
      </c>
      <c r="D15" s="19"/>
      <c r="E15" s="20">
        <v>18000.0</v>
      </c>
      <c r="F15" s="19"/>
    </row>
    <row r="16" ht="14.25" customHeight="1">
      <c r="A16" s="19"/>
      <c r="B16" s="19" t="s">
        <v>54</v>
      </c>
      <c r="C16" s="19"/>
      <c r="D16" s="19"/>
      <c r="E16" s="19"/>
      <c r="F16" s="20">
        <v>18000.0</v>
      </c>
    </row>
    <row r="17" ht="14.25" customHeight="1">
      <c r="A17" s="19"/>
      <c r="B17" s="19" t="s">
        <v>55</v>
      </c>
      <c r="C17" s="19"/>
      <c r="D17" s="19"/>
      <c r="E17" s="19"/>
      <c r="F17" s="19"/>
    </row>
    <row r="18" ht="14.25" customHeight="1">
      <c r="A18" s="18">
        <v>39326.0</v>
      </c>
      <c r="B18" s="19" t="s">
        <v>56</v>
      </c>
      <c r="C18" s="19" t="s">
        <v>42</v>
      </c>
      <c r="D18" s="19"/>
      <c r="E18" s="20">
        <v>1200.0</v>
      </c>
      <c r="F18" s="19"/>
    </row>
    <row r="19" ht="14.25" customHeight="1">
      <c r="A19" s="19"/>
      <c r="B19" s="19" t="s">
        <v>46</v>
      </c>
      <c r="C19" s="19"/>
      <c r="D19" s="19"/>
      <c r="E19" s="19"/>
      <c r="F19" s="20">
        <v>1200.0</v>
      </c>
    </row>
    <row r="20" ht="14.25" customHeight="1">
      <c r="A20" s="19"/>
      <c r="B20" s="19" t="s">
        <v>57</v>
      </c>
      <c r="C20" s="19"/>
      <c r="D20" s="19"/>
      <c r="E20" s="19"/>
      <c r="F20" s="19"/>
    </row>
    <row r="21" ht="14.25" customHeight="1">
      <c r="A21" s="18">
        <v>39692.0</v>
      </c>
      <c r="B21" s="19" t="s">
        <v>41</v>
      </c>
      <c r="C21" s="19" t="s">
        <v>42</v>
      </c>
      <c r="D21" s="19"/>
      <c r="E21" s="20">
        <v>14000.0</v>
      </c>
      <c r="F21" s="19"/>
    </row>
    <row r="22" ht="14.25" customHeight="1">
      <c r="A22" s="19"/>
      <c r="B22" s="19" t="s">
        <v>58</v>
      </c>
      <c r="C22" s="19"/>
      <c r="D22" s="19"/>
      <c r="E22" s="19"/>
      <c r="F22" s="20">
        <v>14000.0</v>
      </c>
    </row>
    <row r="23" ht="14.25" customHeight="1">
      <c r="A23" s="19"/>
      <c r="B23" s="19" t="s">
        <v>59</v>
      </c>
      <c r="C23" s="19"/>
      <c r="D23" s="19"/>
      <c r="E23" s="19"/>
      <c r="F23" s="19"/>
    </row>
    <row r="24" ht="14.25" customHeight="1">
      <c r="A24" s="18">
        <v>40422.0</v>
      </c>
      <c r="B24" s="19" t="s">
        <v>60</v>
      </c>
      <c r="C24" s="19" t="s">
        <v>42</v>
      </c>
      <c r="D24" s="19"/>
      <c r="E24" s="20">
        <v>22000.0</v>
      </c>
      <c r="F24" s="19"/>
    </row>
    <row r="25" ht="14.25" customHeight="1">
      <c r="A25" s="19"/>
      <c r="B25" s="19" t="s">
        <v>58</v>
      </c>
      <c r="C25" s="19"/>
      <c r="D25" s="19"/>
      <c r="E25" s="19"/>
      <c r="F25" s="20">
        <v>22000.0</v>
      </c>
    </row>
    <row r="26" ht="14.25" customHeight="1">
      <c r="A26" s="19"/>
      <c r="B26" s="19" t="s">
        <v>61</v>
      </c>
      <c r="C26" s="19"/>
      <c r="D26" s="19"/>
      <c r="E26" s="19"/>
      <c r="F26" s="19"/>
    </row>
    <row r="27" ht="14.25" customHeight="1">
      <c r="A27" s="18">
        <v>40787.0</v>
      </c>
      <c r="B27" s="19" t="s">
        <v>62</v>
      </c>
      <c r="C27" s="19" t="s">
        <v>42</v>
      </c>
      <c r="D27" s="19"/>
      <c r="E27" s="20">
        <v>1500.0</v>
      </c>
      <c r="F27" s="19"/>
    </row>
    <row r="28" ht="14.25" customHeight="1">
      <c r="A28" s="19"/>
      <c r="B28" s="19" t="s">
        <v>46</v>
      </c>
      <c r="C28" s="19"/>
      <c r="D28" s="19"/>
      <c r="E28" s="19"/>
      <c r="F28" s="20">
        <v>1500.0</v>
      </c>
    </row>
    <row r="29" ht="14.25" customHeight="1">
      <c r="A29" s="19"/>
      <c r="B29" s="19" t="s">
        <v>63</v>
      </c>
      <c r="C29" s="19"/>
      <c r="D29" s="19"/>
      <c r="E29" s="19"/>
      <c r="F29" s="19"/>
    </row>
    <row r="30" ht="14.25" customHeight="1">
      <c r="A30" s="18">
        <v>41153.0</v>
      </c>
      <c r="B30" s="19" t="s">
        <v>64</v>
      </c>
      <c r="C30" s="19" t="s">
        <v>42</v>
      </c>
      <c r="D30" s="19"/>
      <c r="E30" s="20">
        <v>1000.0</v>
      </c>
      <c r="F30" s="19"/>
    </row>
    <row r="31" ht="14.25" customHeight="1">
      <c r="A31" s="19"/>
      <c r="B31" s="19" t="s">
        <v>65</v>
      </c>
      <c r="C31" s="19"/>
      <c r="D31" s="19"/>
      <c r="E31" s="19"/>
      <c r="F31" s="20">
        <v>1000.0</v>
      </c>
    </row>
    <row r="32" ht="14.25" customHeight="1">
      <c r="A32" s="19"/>
      <c r="B32" s="19" t="s">
        <v>66</v>
      </c>
      <c r="C32" s="19"/>
      <c r="D32" s="19"/>
      <c r="E32" s="19"/>
      <c r="F32" s="19"/>
    </row>
    <row r="33" ht="14.25" customHeight="1">
      <c r="A33" s="18">
        <v>41518.0</v>
      </c>
      <c r="B33" s="19" t="s">
        <v>67</v>
      </c>
      <c r="C33" s="19" t="s">
        <v>42</v>
      </c>
      <c r="D33" s="19"/>
      <c r="E33" s="20">
        <v>2000.0</v>
      </c>
      <c r="F33" s="19"/>
    </row>
    <row r="34" ht="14.25" customHeight="1">
      <c r="A34" s="19"/>
      <c r="B34" s="19" t="s">
        <v>68</v>
      </c>
      <c r="C34" s="19"/>
      <c r="D34" s="19"/>
      <c r="E34" s="19"/>
      <c r="F34" s="20">
        <v>2000.0</v>
      </c>
    </row>
    <row r="35" ht="14.25" customHeight="1">
      <c r="A35" s="19"/>
      <c r="B35" s="19" t="s">
        <v>69</v>
      </c>
      <c r="C35" s="19"/>
      <c r="D35" s="19"/>
      <c r="E35" s="19"/>
      <c r="F35" s="19"/>
    </row>
    <row r="36" ht="14.25" customHeight="1">
      <c r="A36" s="18">
        <v>41883.0</v>
      </c>
      <c r="B36" s="19" t="s">
        <v>70</v>
      </c>
      <c r="C36" s="19" t="s">
        <v>42</v>
      </c>
      <c r="D36" s="19"/>
      <c r="E36" s="19">
        <v>900.0</v>
      </c>
      <c r="F36" s="19"/>
    </row>
    <row r="37" ht="14.25" customHeight="1">
      <c r="A37" s="19"/>
      <c r="B37" s="19" t="s">
        <v>46</v>
      </c>
      <c r="C37" s="19"/>
      <c r="D37" s="19"/>
      <c r="E37" s="19"/>
      <c r="F37" s="19">
        <v>900.0</v>
      </c>
    </row>
    <row r="38" ht="14.25" customHeight="1">
      <c r="A38" s="19"/>
      <c r="B38" s="19" t="s">
        <v>71</v>
      </c>
      <c r="C38" s="19"/>
      <c r="D38" s="19"/>
      <c r="E38" s="19"/>
      <c r="F38" s="19"/>
    </row>
    <row r="39" ht="14.25" customHeight="1">
      <c r="A39" s="18">
        <v>42248.0</v>
      </c>
      <c r="B39" s="19" t="s">
        <v>45</v>
      </c>
      <c r="C39" s="19" t="s">
        <v>42</v>
      </c>
      <c r="D39" s="19"/>
      <c r="E39" s="20">
        <v>15000.0</v>
      </c>
      <c r="F39" s="19"/>
    </row>
    <row r="40" ht="14.25" customHeight="1">
      <c r="A40" s="19"/>
      <c r="B40" s="19" t="s">
        <v>68</v>
      </c>
      <c r="C40" s="19"/>
      <c r="D40" s="19"/>
      <c r="E40" s="19"/>
      <c r="F40" s="20">
        <v>15000.0</v>
      </c>
    </row>
    <row r="41" ht="14.25" customHeight="1">
      <c r="A41" s="19"/>
      <c r="B41" s="19" t="s">
        <v>72</v>
      </c>
      <c r="C41" s="19"/>
      <c r="D41" s="19"/>
      <c r="E41" s="19"/>
      <c r="F41" s="19"/>
    </row>
    <row r="42" ht="14.25" customHeight="1">
      <c r="A42" s="18">
        <v>42614.0</v>
      </c>
      <c r="B42" s="19" t="s">
        <v>64</v>
      </c>
      <c r="C42" s="19" t="s">
        <v>42</v>
      </c>
      <c r="D42" s="19"/>
      <c r="E42" s="20">
        <v>10000.0</v>
      </c>
      <c r="F42" s="19"/>
    </row>
    <row r="43" ht="14.25" customHeight="1">
      <c r="A43" s="19"/>
      <c r="B43" s="19" t="s">
        <v>73</v>
      </c>
      <c r="C43" s="19"/>
      <c r="D43" s="19"/>
      <c r="E43" s="19"/>
      <c r="F43" s="20">
        <v>10000.0</v>
      </c>
    </row>
    <row r="44" ht="14.25" customHeight="1">
      <c r="A44" s="19"/>
      <c r="B44" s="19" t="s">
        <v>74</v>
      </c>
      <c r="C44" s="19"/>
      <c r="D44" s="19"/>
      <c r="E44" s="19"/>
      <c r="F44" s="19"/>
    </row>
    <row r="45" ht="14.25" customHeight="1">
      <c r="A45" s="18">
        <v>42979.0</v>
      </c>
      <c r="B45" s="19" t="s">
        <v>53</v>
      </c>
      <c r="C45" s="19" t="s">
        <v>42</v>
      </c>
      <c r="D45" s="19"/>
      <c r="E45" s="20">
        <v>11000.0</v>
      </c>
      <c r="F45" s="19"/>
    </row>
    <row r="46" ht="14.25" customHeight="1">
      <c r="A46" s="19"/>
      <c r="B46" s="19" t="s">
        <v>46</v>
      </c>
      <c r="C46" s="19"/>
      <c r="D46" s="19"/>
      <c r="E46" s="19"/>
      <c r="F46" s="20">
        <v>11000.0</v>
      </c>
    </row>
    <row r="47" ht="14.25" customHeight="1">
      <c r="A47" s="19"/>
      <c r="B47" s="19" t="s">
        <v>75</v>
      </c>
      <c r="C47" s="19"/>
      <c r="D47" s="19"/>
      <c r="E47" s="19"/>
      <c r="F47" s="19"/>
    </row>
    <row r="48" ht="14.25" customHeight="1">
      <c r="A48" s="18">
        <v>43344.0</v>
      </c>
      <c r="B48" s="19" t="s">
        <v>76</v>
      </c>
      <c r="C48" s="19" t="s">
        <v>42</v>
      </c>
      <c r="D48" s="19"/>
      <c r="E48" s="20">
        <v>3500.0</v>
      </c>
      <c r="F48" s="19"/>
    </row>
    <row r="49" ht="14.25" customHeight="1">
      <c r="A49" s="19"/>
      <c r="B49" s="19" t="s">
        <v>46</v>
      </c>
      <c r="C49" s="19"/>
      <c r="D49" s="19"/>
      <c r="E49" s="19"/>
      <c r="F49" s="20">
        <v>3500.0</v>
      </c>
    </row>
    <row r="50" ht="14.25" customHeight="1">
      <c r="A50" s="19"/>
      <c r="B50" s="19" t="s">
        <v>77</v>
      </c>
      <c r="C50" s="19"/>
      <c r="D50" s="19"/>
      <c r="E50" s="19"/>
      <c r="F50" s="19"/>
    </row>
    <row r="51" ht="14.25" customHeight="1">
      <c r="A51" s="18">
        <v>43709.0</v>
      </c>
      <c r="B51" s="19" t="s">
        <v>78</v>
      </c>
      <c r="C51" s="19" t="s">
        <v>42</v>
      </c>
      <c r="D51" s="19"/>
      <c r="E51" s="20">
        <v>4800.0</v>
      </c>
      <c r="F51" s="19"/>
    </row>
    <row r="52" ht="14.25" customHeight="1">
      <c r="A52" s="19"/>
      <c r="B52" s="19" t="s">
        <v>46</v>
      </c>
      <c r="C52" s="19"/>
      <c r="D52" s="19"/>
      <c r="E52" s="19"/>
      <c r="F52" s="20">
        <v>4800.0</v>
      </c>
    </row>
    <row r="53" ht="14.25" customHeight="1">
      <c r="A53" s="19"/>
      <c r="B53" s="19" t="s">
        <v>79</v>
      </c>
      <c r="C53" s="19"/>
      <c r="D53" s="19"/>
      <c r="E53" s="19"/>
      <c r="F53" s="19"/>
    </row>
    <row r="54" ht="14.25" customHeight="1">
      <c r="A54" s="18">
        <v>44075.0</v>
      </c>
      <c r="B54" s="19" t="s">
        <v>41</v>
      </c>
      <c r="C54" s="19" t="s">
        <v>42</v>
      </c>
      <c r="D54" s="19"/>
      <c r="E54" s="20">
        <v>16500.0</v>
      </c>
      <c r="F54" s="19"/>
    </row>
    <row r="55" ht="14.25" customHeight="1">
      <c r="A55" s="19"/>
      <c r="B55" s="19" t="s">
        <v>58</v>
      </c>
      <c r="C55" s="19"/>
      <c r="D55" s="19"/>
      <c r="E55" s="19"/>
      <c r="F55" s="20">
        <v>16500.0</v>
      </c>
    </row>
    <row r="56" ht="14.25" customHeight="1">
      <c r="A56" s="19"/>
      <c r="B56" s="19" t="s">
        <v>59</v>
      </c>
      <c r="C56" s="19"/>
      <c r="D56" s="19"/>
      <c r="E56" s="19"/>
      <c r="F56" s="19"/>
    </row>
    <row r="57" ht="14.25" customHeight="1">
      <c r="A57" s="18">
        <v>44440.0</v>
      </c>
      <c r="B57" s="19" t="s">
        <v>80</v>
      </c>
      <c r="C57" s="19" t="s">
        <v>42</v>
      </c>
      <c r="D57" s="19"/>
      <c r="E57" s="20">
        <v>3000.0</v>
      </c>
      <c r="F57" s="19"/>
    </row>
    <row r="58" ht="14.25" customHeight="1">
      <c r="A58" s="19"/>
      <c r="B58" s="19" t="s">
        <v>46</v>
      </c>
      <c r="C58" s="19"/>
      <c r="D58" s="19"/>
      <c r="E58" s="19"/>
      <c r="F58" s="20">
        <v>3000.0</v>
      </c>
    </row>
    <row r="59" ht="14.25" customHeight="1">
      <c r="A59" s="19"/>
      <c r="B59" s="19" t="s">
        <v>81</v>
      </c>
      <c r="C59" s="19"/>
      <c r="D59" s="19"/>
      <c r="E59" s="19"/>
      <c r="F59" s="19"/>
    </row>
    <row r="60" ht="14.25" customHeight="1">
      <c r="A60" s="18">
        <v>44805.0</v>
      </c>
      <c r="B60" s="19" t="s">
        <v>53</v>
      </c>
      <c r="C60" s="19" t="s">
        <v>42</v>
      </c>
      <c r="D60" s="19"/>
      <c r="E60" s="20">
        <v>12000.0</v>
      </c>
      <c r="F60" s="19"/>
    </row>
    <row r="61" ht="14.25" customHeight="1">
      <c r="A61" s="19"/>
      <c r="B61" s="19" t="s">
        <v>54</v>
      </c>
      <c r="C61" s="19"/>
      <c r="D61" s="19"/>
      <c r="E61" s="19"/>
      <c r="F61" s="20">
        <v>12000.0</v>
      </c>
    </row>
    <row r="62" ht="14.25" customHeight="1">
      <c r="A62" s="19"/>
      <c r="B62" s="19" t="s">
        <v>82</v>
      </c>
      <c r="C62" s="19"/>
      <c r="D62" s="19"/>
      <c r="E62" s="19"/>
      <c r="F62" s="19"/>
    </row>
    <row r="63" ht="14.25" customHeight="1">
      <c r="A63" s="18">
        <v>45170.0</v>
      </c>
      <c r="B63" s="19" t="s">
        <v>60</v>
      </c>
      <c r="C63" s="19" t="s">
        <v>42</v>
      </c>
      <c r="D63" s="19"/>
      <c r="E63" s="20">
        <v>19000.0</v>
      </c>
      <c r="F63" s="19"/>
    </row>
    <row r="64" ht="14.25" customHeight="1">
      <c r="A64" s="19"/>
      <c r="B64" s="19" t="s">
        <v>58</v>
      </c>
      <c r="C64" s="19"/>
      <c r="D64" s="19"/>
      <c r="E64" s="19"/>
      <c r="F64" s="20">
        <v>19000.0</v>
      </c>
    </row>
    <row r="65" ht="14.25" customHeight="1">
      <c r="A65" s="19"/>
      <c r="B65" s="19" t="s">
        <v>83</v>
      </c>
      <c r="C65" s="19"/>
      <c r="D65" s="19"/>
      <c r="E65" s="19"/>
      <c r="F65" s="19"/>
    </row>
    <row r="66" ht="14.25" customHeight="1">
      <c r="A66" s="18">
        <v>45536.0</v>
      </c>
      <c r="B66" s="19" t="s">
        <v>41</v>
      </c>
      <c r="C66" s="19" t="s">
        <v>42</v>
      </c>
      <c r="D66" s="19"/>
      <c r="E66" s="20">
        <v>1800.0</v>
      </c>
      <c r="F66" s="19"/>
    </row>
    <row r="67" ht="14.25" customHeight="1">
      <c r="A67" s="19"/>
      <c r="B67" s="19" t="s">
        <v>84</v>
      </c>
      <c r="C67" s="19"/>
      <c r="D67" s="19"/>
      <c r="E67" s="19"/>
      <c r="F67" s="20">
        <v>1800.0</v>
      </c>
    </row>
    <row r="68" ht="14.25" customHeight="1">
      <c r="A68" s="19"/>
      <c r="B68" s="19" t="s">
        <v>85</v>
      </c>
      <c r="C68" s="19"/>
      <c r="D68" s="19"/>
      <c r="E68" s="19"/>
      <c r="F68" s="19"/>
    </row>
    <row r="69" ht="14.25" customHeight="1">
      <c r="A69" s="18">
        <v>45901.0</v>
      </c>
      <c r="B69" s="19" t="s">
        <v>86</v>
      </c>
      <c r="C69" s="19" t="s">
        <v>42</v>
      </c>
      <c r="D69" s="19"/>
      <c r="E69" s="20">
        <v>10000.0</v>
      </c>
      <c r="F69" s="19"/>
    </row>
    <row r="70" ht="14.25" customHeight="1">
      <c r="A70" s="19"/>
      <c r="B70" s="19" t="s">
        <v>73</v>
      </c>
      <c r="C70" s="19"/>
      <c r="D70" s="19"/>
      <c r="E70" s="19"/>
      <c r="F70" s="20">
        <v>10000.0</v>
      </c>
    </row>
    <row r="71" ht="14.25" customHeight="1">
      <c r="A71" s="19"/>
      <c r="B71" s="19" t="s">
        <v>87</v>
      </c>
      <c r="C71" s="19"/>
      <c r="D71" s="19"/>
      <c r="E71" s="19"/>
      <c r="F71" s="19"/>
    </row>
    <row r="72" ht="14.25" customHeight="1">
      <c r="A72" s="18">
        <v>46266.0</v>
      </c>
      <c r="B72" s="19" t="s">
        <v>88</v>
      </c>
      <c r="C72" s="19" t="s">
        <v>42</v>
      </c>
      <c r="D72" s="19"/>
      <c r="E72" s="20">
        <v>4000.0</v>
      </c>
      <c r="F72" s="19"/>
    </row>
    <row r="73" ht="14.25" customHeight="1">
      <c r="A73" s="19"/>
      <c r="B73" s="19" t="s">
        <v>73</v>
      </c>
      <c r="C73" s="19"/>
      <c r="D73" s="19"/>
      <c r="E73" s="19"/>
      <c r="F73" s="20">
        <v>4000.0</v>
      </c>
    </row>
    <row r="74" ht="14.25" customHeight="1">
      <c r="A74" s="19"/>
      <c r="B74" s="19" t="s">
        <v>89</v>
      </c>
      <c r="C74" s="19"/>
      <c r="D74" s="19"/>
      <c r="E74" s="19"/>
      <c r="F74" s="19"/>
    </row>
    <row r="75" ht="14.25" customHeight="1">
      <c r="A75" s="18">
        <v>46631.0</v>
      </c>
      <c r="B75" s="19" t="s">
        <v>90</v>
      </c>
      <c r="C75" s="19" t="s">
        <v>42</v>
      </c>
      <c r="D75" s="19"/>
      <c r="E75" s="20">
        <v>1100.0</v>
      </c>
      <c r="F75" s="19"/>
    </row>
    <row r="76" ht="14.25" customHeight="1">
      <c r="A76" s="19"/>
      <c r="B76" s="19" t="s">
        <v>46</v>
      </c>
      <c r="C76" s="19"/>
      <c r="D76" s="19"/>
      <c r="E76" s="19"/>
      <c r="F76" s="20">
        <v>1100.0</v>
      </c>
    </row>
    <row r="77" ht="14.25" customHeight="1">
      <c r="A77" s="19"/>
      <c r="B77" s="19" t="s">
        <v>91</v>
      </c>
      <c r="C77" s="19"/>
      <c r="D77" s="19"/>
      <c r="E77" s="19"/>
      <c r="F77" s="19"/>
      <c r="H77" s="21" t="s">
        <v>92</v>
      </c>
    </row>
    <row r="78" ht="14.25" customHeight="1">
      <c r="A78" s="18">
        <v>46997.0</v>
      </c>
      <c r="B78" s="19" t="s">
        <v>45</v>
      </c>
      <c r="C78" s="19" t="s">
        <v>42</v>
      </c>
      <c r="D78" s="19"/>
      <c r="E78" s="20">
        <v>12000.0</v>
      </c>
      <c r="F78" s="19"/>
    </row>
    <row r="79" ht="14.25" customHeight="1">
      <c r="A79" s="19"/>
      <c r="B79" s="19" t="s">
        <v>68</v>
      </c>
      <c r="C79" s="19"/>
      <c r="D79" s="19"/>
      <c r="E79" s="19"/>
      <c r="F79" s="20">
        <v>12000.0</v>
      </c>
    </row>
    <row r="80" ht="14.25" customHeight="1">
      <c r="A80" s="19"/>
      <c r="B80" s="19" t="s">
        <v>93</v>
      </c>
      <c r="C80" s="19"/>
      <c r="D80" s="19"/>
      <c r="E80" s="19"/>
      <c r="F80" s="19"/>
    </row>
    <row r="81" ht="14.25" customHeight="1">
      <c r="A81" s="18">
        <v>46997.0</v>
      </c>
      <c r="B81" s="19" t="s">
        <v>94</v>
      </c>
      <c r="C81" s="19" t="s">
        <v>42</v>
      </c>
      <c r="D81" s="19"/>
      <c r="E81" s="20">
        <v>1600.0</v>
      </c>
      <c r="F81" s="19"/>
    </row>
    <row r="82" ht="14.25" customHeight="1">
      <c r="A82" s="19"/>
      <c r="B82" s="19" t="s">
        <v>46</v>
      </c>
      <c r="C82" s="19"/>
      <c r="D82" s="19"/>
      <c r="E82" s="19"/>
      <c r="F82" s="20">
        <v>1600.0</v>
      </c>
    </row>
    <row r="83" ht="14.25" customHeight="1">
      <c r="A83" s="19"/>
      <c r="B83" s="19" t="s">
        <v>95</v>
      </c>
      <c r="C83" s="19"/>
      <c r="D83" s="19"/>
      <c r="E83" s="19"/>
      <c r="F83" s="19"/>
    </row>
    <row r="84" ht="14.25" customHeight="1">
      <c r="A84" s="18">
        <v>47362.0</v>
      </c>
      <c r="B84" s="19" t="s">
        <v>96</v>
      </c>
      <c r="C84" s="19" t="s">
        <v>42</v>
      </c>
      <c r="D84" s="19"/>
      <c r="E84" s="19">
        <v>400.0</v>
      </c>
      <c r="F84" s="19"/>
    </row>
    <row r="85" ht="14.25" customHeight="1">
      <c r="A85" s="19"/>
      <c r="B85" s="19" t="s">
        <v>73</v>
      </c>
      <c r="C85" s="19"/>
      <c r="D85" s="19"/>
      <c r="E85" s="19"/>
      <c r="F85" s="19">
        <v>400.0</v>
      </c>
    </row>
    <row r="86" ht="14.25" customHeight="1">
      <c r="A86" s="19"/>
      <c r="B86" s="19" t="s">
        <v>97</v>
      </c>
      <c r="C86" s="19"/>
      <c r="D86" s="19"/>
      <c r="E86" s="19"/>
      <c r="F86" s="19"/>
    </row>
    <row r="87" ht="14.25" customHeight="1">
      <c r="A87" s="18">
        <v>47727.0</v>
      </c>
      <c r="B87" s="19" t="s">
        <v>98</v>
      </c>
      <c r="C87" s="19" t="s">
        <v>42</v>
      </c>
      <c r="D87" s="19"/>
      <c r="E87" s="20">
        <v>1300.0</v>
      </c>
      <c r="F87" s="19"/>
    </row>
    <row r="88" ht="14.25" customHeight="1">
      <c r="A88" s="19"/>
      <c r="B88" s="19" t="s">
        <v>46</v>
      </c>
      <c r="C88" s="19"/>
      <c r="D88" s="19"/>
      <c r="E88" s="19"/>
      <c r="F88" s="20">
        <v>1300.0</v>
      </c>
    </row>
    <row r="89" ht="14.25" customHeight="1">
      <c r="A89" s="19"/>
      <c r="B89" s="19" t="s">
        <v>99</v>
      </c>
      <c r="C89" s="19"/>
      <c r="D89" s="19"/>
      <c r="E89" s="19"/>
      <c r="F89" s="19"/>
    </row>
    <row r="90" ht="14.25" customHeight="1">
      <c r="A90" s="18">
        <v>47727.0</v>
      </c>
      <c r="B90" s="19" t="s">
        <v>100</v>
      </c>
      <c r="C90" s="19" t="s">
        <v>42</v>
      </c>
      <c r="D90" s="19"/>
      <c r="E90" s="20">
        <v>10000.0</v>
      </c>
      <c r="F90" s="19"/>
    </row>
    <row r="91" ht="14.25" customHeight="1">
      <c r="A91" s="19"/>
      <c r="B91" s="19" t="s">
        <v>73</v>
      </c>
      <c r="C91" s="19"/>
      <c r="D91" s="19"/>
      <c r="E91" s="19"/>
      <c r="F91" s="20">
        <v>10000.0</v>
      </c>
    </row>
    <row r="92" ht="14.25" customHeight="1">
      <c r="A92" s="19"/>
      <c r="B92" s="19" t="s">
        <v>101</v>
      </c>
      <c r="C92" s="19"/>
      <c r="D92" s="19"/>
      <c r="E92" s="19"/>
      <c r="F92" s="19"/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9.0"/>
    <col customWidth="1" min="3" max="3" width="4.63"/>
    <col customWidth="1" min="4" max="4" width="11.38"/>
    <col customWidth="1" min="5" max="5" width="10.38"/>
    <col customWidth="1" min="6" max="6" width="45.63"/>
    <col customWidth="1" min="7" max="7" width="4.63"/>
    <col customWidth="1" min="8" max="8" width="11.38"/>
    <col customWidth="1" min="9" max="26" width="8.63"/>
  </cols>
  <sheetData>
    <row r="1" ht="14.25" customHeight="1">
      <c r="A1" s="22" t="s">
        <v>102</v>
      </c>
    </row>
    <row r="2" ht="14.25" customHeight="1"/>
    <row r="3" ht="14.25" customHeight="1">
      <c r="A3" s="23" t="s">
        <v>103</v>
      </c>
      <c r="B3" s="23"/>
      <c r="C3" s="24" t="s">
        <v>104</v>
      </c>
      <c r="G3" s="23"/>
      <c r="H3" s="25" t="s">
        <v>105</v>
      </c>
    </row>
    <row r="4" ht="14.25" customHeight="1">
      <c r="A4" s="26" t="s">
        <v>36</v>
      </c>
      <c r="B4" s="26" t="s">
        <v>37</v>
      </c>
      <c r="C4" s="26" t="s">
        <v>106</v>
      </c>
      <c r="D4" s="26" t="s">
        <v>107</v>
      </c>
      <c r="E4" s="26" t="s">
        <v>36</v>
      </c>
      <c r="F4" s="26" t="s">
        <v>37</v>
      </c>
      <c r="G4" s="26" t="s">
        <v>106</v>
      </c>
      <c r="H4" s="26" t="s">
        <v>107</v>
      </c>
    </row>
    <row r="5" ht="14.25" customHeight="1">
      <c r="A5" s="27">
        <v>45930.0</v>
      </c>
      <c r="B5" s="19" t="s">
        <v>108</v>
      </c>
      <c r="C5" s="19"/>
      <c r="D5" s="28">
        <v>100000.0</v>
      </c>
      <c r="E5" s="27">
        <v>45901.0</v>
      </c>
      <c r="F5" s="19" t="s">
        <v>109</v>
      </c>
      <c r="G5" s="19"/>
      <c r="H5" s="28">
        <v>100000.0</v>
      </c>
    </row>
    <row r="6" ht="14.25" customHeight="1">
      <c r="A6" s="19"/>
      <c r="B6" s="19"/>
      <c r="C6" s="19"/>
      <c r="D6" s="28"/>
      <c r="E6" s="19"/>
      <c r="F6" s="19"/>
      <c r="G6" s="19"/>
      <c r="H6" s="28"/>
    </row>
    <row r="7" ht="14.25" customHeight="1">
      <c r="A7" s="19"/>
      <c r="B7" s="19"/>
      <c r="C7" s="19"/>
      <c r="D7" s="29">
        <v>100000.0</v>
      </c>
      <c r="E7" s="19"/>
      <c r="F7" s="19"/>
      <c r="G7" s="19"/>
      <c r="H7" s="29">
        <v>100000.0</v>
      </c>
    </row>
    <row r="8" ht="14.25" customHeight="1">
      <c r="A8" s="19"/>
      <c r="B8" s="19"/>
      <c r="C8" s="19"/>
      <c r="D8" s="28"/>
      <c r="E8" s="27">
        <v>45931.0</v>
      </c>
      <c r="F8" s="19" t="s">
        <v>110</v>
      </c>
      <c r="G8" s="19"/>
      <c r="H8" s="29">
        <v>100000.0</v>
      </c>
    </row>
    <row r="9" ht="14.25" customHeight="1">
      <c r="D9" s="30"/>
      <c r="H9" s="30"/>
    </row>
    <row r="10" ht="14.25" customHeight="1">
      <c r="D10" s="30"/>
      <c r="H10" s="30"/>
    </row>
    <row r="11" ht="14.25" customHeight="1">
      <c r="A11" s="23" t="s">
        <v>103</v>
      </c>
      <c r="B11" s="23"/>
      <c r="C11" s="24" t="s">
        <v>111</v>
      </c>
      <c r="G11" s="23"/>
      <c r="H11" s="25" t="s">
        <v>105</v>
      </c>
    </row>
    <row r="12" ht="14.25" customHeight="1">
      <c r="A12" s="26" t="s">
        <v>36</v>
      </c>
      <c r="B12" s="26" t="s">
        <v>37</v>
      </c>
      <c r="C12" s="26" t="s">
        <v>106</v>
      </c>
      <c r="D12" s="26" t="s">
        <v>107</v>
      </c>
      <c r="E12" s="26" t="s">
        <v>36</v>
      </c>
      <c r="F12" s="26" t="s">
        <v>37</v>
      </c>
      <c r="G12" s="26" t="s">
        <v>106</v>
      </c>
      <c r="H12" s="26" t="s">
        <v>107</v>
      </c>
    </row>
    <row r="13" ht="14.25" customHeight="1">
      <c r="A13" s="27">
        <v>45901.0</v>
      </c>
      <c r="B13" s="19" t="s">
        <v>112</v>
      </c>
      <c r="C13" s="19"/>
      <c r="D13" s="28">
        <v>100000.0</v>
      </c>
      <c r="E13" s="27">
        <v>45902.0</v>
      </c>
      <c r="F13" s="19" t="s">
        <v>113</v>
      </c>
      <c r="G13" s="19"/>
      <c r="H13" s="28">
        <v>45000.0</v>
      </c>
    </row>
    <row r="14" ht="14.25" customHeight="1">
      <c r="A14" s="27">
        <v>45908.0</v>
      </c>
      <c r="B14" s="19" t="s">
        <v>114</v>
      </c>
      <c r="C14" s="19"/>
      <c r="D14" s="28">
        <v>14000.0</v>
      </c>
      <c r="E14" s="27">
        <v>45904.0</v>
      </c>
      <c r="F14" s="19" t="s">
        <v>115</v>
      </c>
      <c r="G14" s="19"/>
      <c r="H14" s="28">
        <v>8000.0</v>
      </c>
    </row>
    <row r="15" ht="14.25" customHeight="1">
      <c r="A15" s="27">
        <v>45920.0</v>
      </c>
      <c r="B15" s="19" t="s">
        <v>114</v>
      </c>
      <c r="C15" s="19"/>
      <c r="D15" s="20">
        <v>16500.0</v>
      </c>
      <c r="E15" s="27">
        <v>45907.0</v>
      </c>
      <c r="F15" s="19" t="s">
        <v>116</v>
      </c>
      <c r="G15" s="19"/>
      <c r="H15" s="28">
        <v>1200.0</v>
      </c>
    </row>
    <row r="16" ht="14.25" customHeight="1">
      <c r="A16" s="27">
        <v>45924.0</v>
      </c>
      <c r="B16" s="19" t="s">
        <v>117</v>
      </c>
      <c r="C16" s="19"/>
      <c r="D16" s="28">
        <v>1800.0</v>
      </c>
      <c r="E16" s="27">
        <v>45911.0</v>
      </c>
      <c r="F16" s="19" t="s">
        <v>118</v>
      </c>
      <c r="G16" s="19"/>
      <c r="H16" s="28">
        <v>1500.0</v>
      </c>
    </row>
    <row r="17" ht="14.25" customHeight="1">
      <c r="A17" s="19"/>
      <c r="B17" s="19"/>
      <c r="C17" s="19"/>
      <c r="D17" s="28"/>
      <c r="E17" s="27">
        <v>45914.0</v>
      </c>
      <c r="F17" s="19" t="s">
        <v>119</v>
      </c>
      <c r="G17" s="19"/>
      <c r="H17" s="28">
        <v>900.0</v>
      </c>
    </row>
    <row r="18" ht="14.25" customHeight="1">
      <c r="A18" s="19"/>
      <c r="B18" s="19"/>
      <c r="C18" s="19"/>
      <c r="D18" s="28"/>
      <c r="E18" s="27">
        <v>45917.0</v>
      </c>
      <c r="F18" s="19" t="s">
        <v>120</v>
      </c>
      <c r="G18" s="19"/>
      <c r="H18" s="28">
        <v>11000.0</v>
      </c>
    </row>
    <row r="19" ht="14.25" customHeight="1">
      <c r="A19" s="19"/>
      <c r="B19" s="19"/>
      <c r="C19" s="19"/>
      <c r="D19" s="28"/>
      <c r="E19" s="27">
        <v>45919.0</v>
      </c>
      <c r="F19" s="19" t="s">
        <v>121</v>
      </c>
      <c r="G19" s="19"/>
      <c r="H19" s="28">
        <v>4800.0</v>
      </c>
    </row>
    <row r="20" ht="14.25" customHeight="1">
      <c r="A20" s="19"/>
      <c r="B20" s="19"/>
      <c r="C20" s="19"/>
      <c r="D20" s="28"/>
      <c r="E20" s="27">
        <v>45921.0</v>
      </c>
      <c r="F20" s="19" t="s">
        <v>122</v>
      </c>
      <c r="G20" s="19"/>
      <c r="H20" s="28">
        <v>3000.0</v>
      </c>
    </row>
    <row r="21" ht="14.25" customHeight="1">
      <c r="A21" s="19"/>
      <c r="B21" s="19"/>
      <c r="C21" s="19"/>
      <c r="D21" s="28"/>
      <c r="E21" s="27">
        <v>45927.0</v>
      </c>
      <c r="F21" s="19" t="s">
        <v>123</v>
      </c>
      <c r="G21" s="19"/>
      <c r="H21" s="28">
        <v>1100.0</v>
      </c>
    </row>
    <row r="22" ht="14.25" customHeight="1">
      <c r="A22" s="19"/>
      <c r="B22" s="19"/>
      <c r="C22" s="19"/>
      <c r="D22" s="28"/>
      <c r="E22" s="27">
        <v>45928.0</v>
      </c>
      <c r="F22" s="19" t="s">
        <v>124</v>
      </c>
      <c r="G22" s="19"/>
      <c r="H22" s="28">
        <v>1600.0</v>
      </c>
    </row>
    <row r="23" ht="14.25" customHeight="1">
      <c r="A23" s="19"/>
      <c r="B23" s="19"/>
      <c r="C23" s="19"/>
      <c r="D23" s="28"/>
      <c r="E23" s="27">
        <v>45930.0</v>
      </c>
      <c r="F23" s="19" t="s">
        <v>125</v>
      </c>
      <c r="G23" s="19"/>
      <c r="H23" s="28">
        <v>1300.0</v>
      </c>
    </row>
    <row r="24" ht="14.25" customHeight="1">
      <c r="A24" s="19"/>
      <c r="B24" s="19"/>
      <c r="C24" s="19"/>
      <c r="D24" s="28"/>
      <c r="E24" s="27">
        <v>46295.0</v>
      </c>
      <c r="F24" s="19" t="s">
        <v>110</v>
      </c>
      <c r="G24" s="19"/>
      <c r="H24" s="28">
        <f>132300-79400</f>
        <v>52900</v>
      </c>
    </row>
    <row r="25" ht="14.25" customHeight="1">
      <c r="A25" s="19"/>
      <c r="B25" s="19"/>
      <c r="C25" s="19"/>
      <c r="D25" s="19"/>
      <c r="E25" s="19"/>
      <c r="F25" s="19"/>
      <c r="G25" s="19"/>
      <c r="H25" s="19"/>
    </row>
    <row r="26" ht="14.25" customHeight="1">
      <c r="A26" s="19"/>
      <c r="B26" s="19"/>
      <c r="C26" s="19"/>
      <c r="D26" s="29">
        <f>SUM(D13:D25)</f>
        <v>132300</v>
      </c>
      <c r="E26" s="31"/>
      <c r="F26" s="31"/>
      <c r="G26" s="31"/>
      <c r="H26" s="29">
        <f>SUM(H13:H25)</f>
        <v>132300</v>
      </c>
    </row>
    <row r="27" ht="14.25" customHeight="1">
      <c r="A27" s="27">
        <v>45931.0</v>
      </c>
      <c r="B27" s="19" t="s">
        <v>108</v>
      </c>
      <c r="C27" s="19"/>
      <c r="D27" s="29">
        <v>52900.0</v>
      </c>
      <c r="E27" s="31"/>
      <c r="F27" s="31"/>
      <c r="G27" s="31"/>
      <c r="H27" s="31"/>
    </row>
    <row r="28" ht="14.25" customHeight="1">
      <c r="D28" s="30"/>
      <c r="H28" s="30"/>
    </row>
    <row r="29" ht="14.25" customHeight="1">
      <c r="D29" s="30"/>
      <c r="H29" s="30"/>
    </row>
    <row r="30" ht="14.25" customHeight="1">
      <c r="A30" s="23" t="s">
        <v>103</v>
      </c>
      <c r="B30" s="23"/>
      <c r="C30" s="24" t="s">
        <v>126</v>
      </c>
      <c r="G30" s="23"/>
      <c r="H30" s="25" t="s">
        <v>105</v>
      </c>
    </row>
    <row r="31" ht="14.25" customHeight="1">
      <c r="A31" s="26" t="s">
        <v>36</v>
      </c>
      <c r="B31" s="26" t="s">
        <v>37</v>
      </c>
      <c r="C31" s="26" t="s">
        <v>106</v>
      </c>
      <c r="D31" s="26" t="s">
        <v>107</v>
      </c>
      <c r="E31" s="26" t="s">
        <v>36</v>
      </c>
      <c r="F31" s="26" t="s">
        <v>37</v>
      </c>
      <c r="G31" s="26" t="s">
        <v>106</v>
      </c>
      <c r="H31" s="26" t="s">
        <v>107</v>
      </c>
    </row>
    <row r="32" ht="14.25" customHeight="1">
      <c r="A32" s="27">
        <v>45902.0</v>
      </c>
      <c r="B32" s="19" t="s">
        <v>127</v>
      </c>
      <c r="C32" s="19"/>
      <c r="D32" s="28">
        <v>45000.0</v>
      </c>
      <c r="E32" s="27">
        <v>45916.0</v>
      </c>
      <c r="F32" s="19" t="s">
        <v>128</v>
      </c>
      <c r="G32" s="19"/>
      <c r="H32" s="28">
        <v>10000.0</v>
      </c>
    </row>
    <row r="33" ht="14.25" customHeight="1">
      <c r="A33" s="27">
        <v>45915.0</v>
      </c>
      <c r="B33" s="19" t="s">
        <v>129</v>
      </c>
      <c r="C33" s="19"/>
      <c r="D33" s="28">
        <v>15000.0</v>
      </c>
      <c r="E33" s="27">
        <v>45925.0</v>
      </c>
      <c r="F33" s="19" t="s">
        <v>130</v>
      </c>
      <c r="G33" s="19"/>
      <c r="H33" s="28">
        <v>10000.0</v>
      </c>
    </row>
    <row r="34" ht="14.25" customHeight="1">
      <c r="A34" s="27">
        <v>45928.0</v>
      </c>
      <c r="B34" s="19" t="s">
        <v>129</v>
      </c>
      <c r="C34" s="19"/>
      <c r="D34" s="28">
        <v>12000.0</v>
      </c>
      <c r="E34" s="27">
        <v>46291.0</v>
      </c>
      <c r="F34" s="19" t="s">
        <v>131</v>
      </c>
      <c r="G34" s="19"/>
      <c r="H34" s="20">
        <v>4000.0</v>
      </c>
    </row>
    <row r="35" ht="14.25" customHeight="1">
      <c r="A35" s="19"/>
      <c r="B35" s="19"/>
      <c r="C35" s="19"/>
      <c r="D35" s="19"/>
      <c r="E35" s="27">
        <v>45929.0</v>
      </c>
      <c r="F35" s="19" t="s">
        <v>132</v>
      </c>
      <c r="G35" s="19"/>
      <c r="H35" s="28">
        <v>400.0</v>
      </c>
    </row>
    <row r="36" ht="14.25" customHeight="1">
      <c r="A36" s="19"/>
      <c r="B36" s="19"/>
      <c r="C36" s="19"/>
      <c r="D36" s="28"/>
      <c r="E36" s="27">
        <v>45930.0</v>
      </c>
      <c r="F36" s="19" t="s">
        <v>133</v>
      </c>
      <c r="G36" s="19"/>
      <c r="H36" s="28">
        <v>10000.0</v>
      </c>
    </row>
    <row r="37" ht="14.25" customHeight="1">
      <c r="A37" s="19"/>
      <c r="B37" s="19"/>
      <c r="C37" s="19"/>
      <c r="D37" s="28"/>
      <c r="E37" s="27">
        <v>45918.0</v>
      </c>
      <c r="F37" s="19" t="s">
        <v>134</v>
      </c>
      <c r="G37" s="19"/>
      <c r="H37" s="28">
        <v>3500.0</v>
      </c>
    </row>
    <row r="38" ht="14.25" customHeight="1">
      <c r="A38" s="19"/>
      <c r="B38" s="19"/>
      <c r="C38" s="19"/>
      <c r="D38" s="28"/>
      <c r="E38" s="27">
        <v>45930.0</v>
      </c>
      <c r="F38" s="19" t="s">
        <v>135</v>
      </c>
      <c r="G38" s="19"/>
      <c r="H38" s="19">
        <f>72000-37900</f>
        <v>34100</v>
      </c>
    </row>
    <row r="39" ht="14.25" customHeight="1">
      <c r="A39" s="19"/>
      <c r="B39" s="19"/>
      <c r="C39" s="19"/>
      <c r="D39" s="29">
        <f>SUM(D32:D34)</f>
        <v>72000</v>
      </c>
      <c r="E39" s="31"/>
      <c r="F39" s="31"/>
      <c r="G39" s="31"/>
      <c r="H39" s="29">
        <f>SUM(H32:H38)</f>
        <v>72000</v>
      </c>
    </row>
    <row r="40" ht="14.25" customHeight="1">
      <c r="A40" s="27">
        <v>45931.0</v>
      </c>
      <c r="B40" s="19" t="s">
        <v>108</v>
      </c>
      <c r="C40" s="19"/>
      <c r="D40" s="29">
        <v>34100.0</v>
      </c>
      <c r="E40" s="31"/>
      <c r="F40" s="31"/>
      <c r="G40" s="31"/>
      <c r="H40" s="29"/>
    </row>
    <row r="41" ht="14.25" customHeight="1">
      <c r="D41" s="30"/>
      <c r="H41" s="30"/>
    </row>
    <row r="42" ht="14.25" customHeight="1">
      <c r="D42" s="30"/>
      <c r="H42" s="30"/>
    </row>
    <row r="43" ht="14.25" customHeight="1">
      <c r="A43" s="23" t="s">
        <v>103</v>
      </c>
      <c r="B43" s="23"/>
      <c r="C43" s="24" t="s">
        <v>136</v>
      </c>
      <c r="G43" s="23"/>
      <c r="H43" s="25" t="s">
        <v>105</v>
      </c>
    </row>
    <row r="44" ht="14.25" customHeight="1">
      <c r="A44" s="26" t="s">
        <v>36</v>
      </c>
      <c r="B44" s="26" t="s">
        <v>37</v>
      </c>
      <c r="C44" s="26" t="s">
        <v>106</v>
      </c>
      <c r="D44" s="26" t="s">
        <v>107</v>
      </c>
      <c r="E44" s="26" t="s">
        <v>36</v>
      </c>
      <c r="F44" s="26" t="s">
        <v>37</v>
      </c>
      <c r="G44" s="26" t="s">
        <v>106</v>
      </c>
      <c r="H44" s="26" t="s">
        <v>107</v>
      </c>
    </row>
    <row r="45" ht="14.25" customHeight="1">
      <c r="A45" s="27">
        <v>46268.0</v>
      </c>
      <c r="B45" s="19" t="s">
        <v>137</v>
      </c>
      <c r="C45" s="19"/>
      <c r="D45" s="28">
        <v>25000.0</v>
      </c>
      <c r="E45" s="27">
        <v>46295.0</v>
      </c>
      <c r="F45" s="19" t="s">
        <v>110</v>
      </c>
      <c r="G45" s="19"/>
      <c r="H45" s="28">
        <v>25000.0</v>
      </c>
    </row>
    <row r="46" ht="14.25" customHeight="1">
      <c r="A46" s="27"/>
      <c r="B46" s="19"/>
      <c r="C46" s="19"/>
      <c r="D46" s="28"/>
      <c r="E46" s="27"/>
      <c r="F46" s="19"/>
      <c r="G46" s="19"/>
      <c r="H46" s="19"/>
    </row>
    <row r="47" ht="14.25" customHeight="1">
      <c r="A47" s="19"/>
      <c r="B47" s="19"/>
      <c r="C47" s="19"/>
      <c r="D47" s="29">
        <f>SUM(D45:D46)</f>
        <v>25000</v>
      </c>
      <c r="E47" s="32"/>
      <c r="F47" s="31"/>
      <c r="G47" s="31"/>
      <c r="H47" s="29">
        <f>SUM(H45:H46)</f>
        <v>25000</v>
      </c>
    </row>
    <row r="48" ht="14.25" customHeight="1">
      <c r="A48" s="27">
        <v>46296.0</v>
      </c>
      <c r="B48" s="19" t="s">
        <v>108</v>
      </c>
      <c r="C48" s="19"/>
      <c r="D48" s="29">
        <v>25000.0</v>
      </c>
      <c r="E48" s="32"/>
      <c r="F48" s="31"/>
      <c r="G48" s="31"/>
      <c r="H48" s="29"/>
    </row>
    <row r="49" ht="14.25" customHeight="1"/>
    <row r="50" ht="14.25" customHeight="1"/>
    <row r="51" ht="14.25" customHeight="1">
      <c r="A51" s="23" t="s">
        <v>103</v>
      </c>
      <c r="B51" s="23"/>
      <c r="C51" s="24" t="s">
        <v>138</v>
      </c>
      <c r="G51" s="23"/>
      <c r="H51" s="25" t="s">
        <v>105</v>
      </c>
    </row>
    <row r="52" ht="14.25" customHeight="1">
      <c r="A52" s="26" t="s">
        <v>36</v>
      </c>
      <c r="B52" s="26" t="s">
        <v>37</v>
      </c>
      <c r="C52" s="26" t="s">
        <v>106</v>
      </c>
      <c r="D52" s="26" t="s">
        <v>107</v>
      </c>
      <c r="E52" s="26" t="s">
        <v>36</v>
      </c>
      <c r="F52" s="26" t="s">
        <v>37</v>
      </c>
      <c r="G52" s="26" t="s">
        <v>106</v>
      </c>
      <c r="H52" s="26" t="s">
        <v>107</v>
      </c>
    </row>
    <row r="53" ht="14.25" customHeight="1">
      <c r="A53" s="27">
        <v>46290.0</v>
      </c>
      <c r="B53" s="19" t="s">
        <v>73</v>
      </c>
      <c r="C53" s="19"/>
      <c r="D53" s="28">
        <v>10000.0</v>
      </c>
      <c r="E53" s="27">
        <v>46268.0</v>
      </c>
      <c r="F53" s="19" t="s">
        <v>130</v>
      </c>
      <c r="G53" s="19"/>
      <c r="H53" s="28">
        <v>25000.0</v>
      </c>
    </row>
    <row r="54" ht="14.25" customHeight="1">
      <c r="A54" s="27">
        <v>46295.0</v>
      </c>
      <c r="B54" s="19" t="s">
        <v>139</v>
      </c>
      <c r="C54" s="19"/>
      <c r="D54" s="28">
        <v>15000.0</v>
      </c>
      <c r="E54" s="27"/>
      <c r="F54" s="19"/>
      <c r="G54" s="19"/>
      <c r="H54" s="28"/>
    </row>
    <row r="55" ht="14.25" customHeight="1">
      <c r="A55" s="27"/>
      <c r="B55" s="19"/>
      <c r="C55" s="19"/>
      <c r="D55" s="29">
        <v>25000.0</v>
      </c>
      <c r="E55" s="27"/>
      <c r="F55" s="19"/>
      <c r="G55" s="19"/>
      <c r="H55" s="33">
        <v>25000.0</v>
      </c>
    </row>
    <row r="56" ht="14.25" customHeight="1">
      <c r="A56" s="19"/>
      <c r="B56" s="19"/>
      <c r="C56" s="19"/>
      <c r="D56" s="28"/>
      <c r="E56" s="27">
        <v>46296.0</v>
      </c>
      <c r="F56" s="19" t="s">
        <v>140</v>
      </c>
      <c r="G56" s="19"/>
      <c r="H56" s="29">
        <v>15000.0</v>
      </c>
    </row>
    <row r="57" ht="14.25" customHeight="1"/>
    <row r="58" ht="14.25" customHeight="1">
      <c r="D58" s="30"/>
      <c r="H58" s="30"/>
    </row>
    <row r="59" ht="14.25" customHeight="1">
      <c r="A59" s="23" t="s">
        <v>103</v>
      </c>
      <c r="B59" s="23"/>
      <c r="C59" s="24" t="s">
        <v>141</v>
      </c>
      <c r="G59" s="23"/>
      <c r="H59" s="25" t="s">
        <v>105</v>
      </c>
    </row>
    <row r="60" ht="14.25" customHeight="1">
      <c r="A60" s="26" t="s">
        <v>36</v>
      </c>
      <c r="B60" s="26" t="s">
        <v>37</v>
      </c>
      <c r="C60" s="26" t="s">
        <v>106</v>
      </c>
      <c r="D60" s="26" t="s">
        <v>107</v>
      </c>
      <c r="E60" s="26" t="s">
        <v>36</v>
      </c>
      <c r="F60" s="26" t="s">
        <v>37</v>
      </c>
      <c r="G60" s="26" t="s">
        <v>106</v>
      </c>
      <c r="H60" s="26" t="s">
        <v>107</v>
      </c>
    </row>
    <row r="61" ht="14.25" customHeight="1">
      <c r="A61" s="27">
        <v>46269.0</v>
      </c>
      <c r="B61" s="19" t="s">
        <v>127</v>
      </c>
      <c r="C61" s="19"/>
      <c r="D61" s="28">
        <v>8000.0</v>
      </c>
      <c r="E61" s="27">
        <v>46295.0</v>
      </c>
      <c r="F61" s="19" t="s">
        <v>110</v>
      </c>
      <c r="G61" s="19"/>
      <c r="H61" s="28">
        <v>8000.0</v>
      </c>
    </row>
    <row r="62" ht="14.25" customHeight="1">
      <c r="A62" s="19"/>
      <c r="B62" s="19"/>
      <c r="C62" s="19"/>
      <c r="D62" s="28"/>
      <c r="E62" s="19"/>
      <c r="F62" s="19"/>
      <c r="G62" s="19"/>
      <c r="H62" s="28"/>
    </row>
    <row r="63" ht="14.25" customHeight="1">
      <c r="A63" s="19"/>
      <c r="B63" s="19"/>
      <c r="C63" s="19"/>
      <c r="D63" s="29">
        <v>8000.0</v>
      </c>
      <c r="E63" s="31"/>
      <c r="F63" s="31"/>
      <c r="G63" s="31"/>
      <c r="H63" s="29">
        <v>8000.0</v>
      </c>
    </row>
    <row r="64" ht="14.25" customHeight="1">
      <c r="A64" s="27">
        <v>46296.0</v>
      </c>
      <c r="B64" s="19" t="s">
        <v>108</v>
      </c>
      <c r="C64" s="19"/>
      <c r="D64" s="29">
        <v>8000.0</v>
      </c>
      <c r="E64" s="31"/>
      <c r="F64" s="31"/>
      <c r="G64" s="31"/>
      <c r="H64" s="29"/>
    </row>
    <row r="65" ht="14.25" customHeight="1">
      <c r="D65" s="30"/>
      <c r="H65" s="30"/>
    </row>
    <row r="66" ht="14.25" customHeight="1">
      <c r="D66" s="30"/>
      <c r="H66" s="30"/>
    </row>
    <row r="67" ht="14.25" customHeight="1">
      <c r="A67" s="23" t="s">
        <v>103</v>
      </c>
      <c r="B67" s="23"/>
      <c r="C67" s="24" t="s">
        <v>142</v>
      </c>
      <c r="G67" s="23"/>
      <c r="H67" s="25" t="s">
        <v>105</v>
      </c>
    </row>
    <row r="68" ht="14.25" customHeight="1">
      <c r="A68" s="26" t="s">
        <v>36</v>
      </c>
      <c r="B68" s="26" t="s">
        <v>37</v>
      </c>
      <c r="C68" s="26" t="s">
        <v>106</v>
      </c>
      <c r="D68" s="26" t="s">
        <v>107</v>
      </c>
      <c r="E68" s="26" t="s">
        <v>36</v>
      </c>
      <c r="F68" s="26" t="s">
        <v>37</v>
      </c>
      <c r="G68" s="26" t="s">
        <v>106</v>
      </c>
      <c r="H68" s="26" t="s">
        <v>107</v>
      </c>
    </row>
    <row r="69" ht="14.25" customHeight="1">
      <c r="A69" s="27">
        <v>46270.0</v>
      </c>
      <c r="B69" s="19" t="s">
        <v>143</v>
      </c>
      <c r="C69" s="19"/>
      <c r="D69" s="28">
        <v>18000.0</v>
      </c>
      <c r="E69" s="27">
        <v>46295.0</v>
      </c>
      <c r="F69" s="19" t="s">
        <v>110</v>
      </c>
      <c r="G69" s="19"/>
      <c r="H69" s="28">
        <v>41000.0</v>
      </c>
    </row>
    <row r="70" ht="14.25" customHeight="1">
      <c r="A70" s="27">
        <v>46282.0</v>
      </c>
      <c r="B70" s="19" t="s">
        <v>127</v>
      </c>
      <c r="C70" s="19"/>
      <c r="D70" s="28">
        <v>11000.0</v>
      </c>
      <c r="E70" s="19"/>
      <c r="F70" s="19"/>
      <c r="G70" s="19"/>
      <c r="H70" s="28"/>
    </row>
    <row r="71" ht="14.25" customHeight="1">
      <c r="A71" s="27">
        <v>46287.0</v>
      </c>
      <c r="B71" s="19" t="s">
        <v>143</v>
      </c>
      <c r="C71" s="19"/>
      <c r="D71" s="28">
        <v>12000.0</v>
      </c>
      <c r="E71" s="19"/>
      <c r="F71" s="19"/>
      <c r="G71" s="19"/>
      <c r="H71" s="28"/>
    </row>
    <row r="72" ht="14.25" customHeight="1">
      <c r="A72" s="27"/>
      <c r="B72" s="19"/>
      <c r="C72" s="19"/>
      <c r="D72" s="28"/>
      <c r="E72" s="19"/>
      <c r="F72" s="19"/>
      <c r="G72" s="19"/>
      <c r="H72" s="28"/>
    </row>
    <row r="73" ht="14.25" customHeight="1">
      <c r="A73" s="19"/>
      <c r="B73" s="19"/>
      <c r="C73" s="19"/>
      <c r="D73" s="29">
        <v>41000.0</v>
      </c>
      <c r="E73" s="31"/>
      <c r="F73" s="31"/>
      <c r="G73" s="31"/>
      <c r="H73" s="29">
        <v>41000.0</v>
      </c>
    </row>
    <row r="74" ht="14.25" customHeight="1">
      <c r="A74" s="27">
        <v>46296.0</v>
      </c>
      <c r="B74" s="19" t="s">
        <v>108</v>
      </c>
      <c r="C74" s="19"/>
      <c r="D74" s="29">
        <v>41000.0</v>
      </c>
      <c r="E74" s="31"/>
      <c r="F74" s="31"/>
      <c r="G74" s="31"/>
      <c r="H74" s="29"/>
    </row>
    <row r="75" ht="14.25" customHeight="1">
      <c r="D75" s="30"/>
      <c r="H75" s="30"/>
    </row>
    <row r="76" ht="14.25" customHeight="1">
      <c r="D76" s="30"/>
      <c r="H76" s="30"/>
    </row>
    <row r="77" ht="14.25" customHeight="1">
      <c r="A77" s="23" t="s">
        <v>103</v>
      </c>
      <c r="B77" s="23"/>
      <c r="C77" s="24" t="s">
        <v>144</v>
      </c>
      <c r="G77" s="23"/>
      <c r="H77" s="25" t="s">
        <v>105</v>
      </c>
    </row>
    <row r="78" ht="14.25" customHeight="1">
      <c r="A78" s="26" t="s">
        <v>36</v>
      </c>
      <c r="B78" s="26" t="s">
        <v>37</v>
      </c>
      <c r="C78" s="26" t="s">
        <v>106</v>
      </c>
      <c r="D78" s="26" t="s">
        <v>107</v>
      </c>
      <c r="E78" s="26" t="s">
        <v>36</v>
      </c>
      <c r="F78" s="26" t="s">
        <v>37</v>
      </c>
      <c r="G78" s="26" t="s">
        <v>106</v>
      </c>
      <c r="H78" s="26" t="s">
        <v>107</v>
      </c>
    </row>
    <row r="79" ht="14.25" customHeight="1">
      <c r="A79" s="27">
        <v>46295.0</v>
      </c>
      <c r="B79" s="19" t="s">
        <v>145</v>
      </c>
      <c r="C79" s="19"/>
      <c r="D79" s="28">
        <v>71500.0</v>
      </c>
      <c r="E79" s="27">
        <v>46273.0</v>
      </c>
      <c r="F79" s="19" t="s">
        <v>109</v>
      </c>
      <c r="G79" s="19"/>
      <c r="H79" s="28">
        <v>14000.0</v>
      </c>
    </row>
    <row r="80" ht="14.25" customHeight="1">
      <c r="A80" s="27"/>
      <c r="B80" s="19"/>
      <c r="C80" s="19"/>
      <c r="D80" s="28"/>
      <c r="E80" s="27">
        <v>46275.0</v>
      </c>
      <c r="F80" s="19" t="s">
        <v>146</v>
      </c>
      <c r="G80" s="19"/>
      <c r="H80" s="28">
        <v>22000.0</v>
      </c>
    </row>
    <row r="81" ht="14.25" customHeight="1">
      <c r="A81" s="27"/>
      <c r="B81" s="19"/>
      <c r="C81" s="19"/>
      <c r="D81" s="28"/>
      <c r="E81" s="27">
        <v>46285.0</v>
      </c>
      <c r="F81" s="19" t="s">
        <v>109</v>
      </c>
      <c r="G81" s="19"/>
      <c r="H81" s="28">
        <v>16500.0</v>
      </c>
    </row>
    <row r="82" ht="14.25" customHeight="1">
      <c r="A82" s="27"/>
      <c r="B82" s="19"/>
      <c r="C82" s="19"/>
      <c r="D82" s="28"/>
      <c r="E82" s="27">
        <v>46288.0</v>
      </c>
      <c r="F82" s="19" t="s">
        <v>146</v>
      </c>
      <c r="G82" s="19"/>
      <c r="H82" s="28">
        <v>19000.0</v>
      </c>
    </row>
    <row r="83" ht="14.25" customHeight="1">
      <c r="A83" s="19"/>
      <c r="B83" s="19"/>
      <c r="C83" s="19"/>
      <c r="D83" s="28"/>
      <c r="E83" s="19"/>
      <c r="F83" s="19"/>
      <c r="G83" s="19"/>
      <c r="H83" s="28"/>
    </row>
    <row r="84" ht="14.25" customHeight="1">
      <c r="A84" s="27"/>
      <c r="B84" s="19"/>
      <c r="C84" s="19"/>
      <c r="D84" s="29">
        <v>71500.0</v>
      </c>
      <c r="E84" s="19"/>
      <c r="F84" s="19"/>
      <c r="G84" s="19"/>
      <c r="H84" s="29">
        <f>SUM(H79:H82)</f>
        <v>71500</v>
      </c>
    </row>
    <row r="85" ht="14.25" customHeight="1">
      <c r="A85" s="19"/>
      <c r="B85" s="19"/>
      <c r="C85" s="19"/>
      <c r="D85" s="28"/>
      <c r="E85" s="27">
        <v>46296.0</v>
      </c>
      <c r="F85" s="19" t="s">
        <v>140</v>
      </c>
      <c r="G85" s="19"/>
      <c r="H85" s="29">
        <v>71500.0</v>
      </c>
    </row>
    <row r="86" ht="14.25" customHeight="1">
      <c r="D86" s="30"/>
      <c r="E86" s="34"/>
      <c r="H86" s="30"/>
    </row>
    <row r="87" ht="14.25" customHeight="1">
      <c r="D87" s="30"/>
      <c r="H87" s="30"/>
    </row>
    <row r="88" ht="14.25" customHeight="1">
      <c r="A88" s="23" t="s">
        <v>103</v>
      </c>
      <c r="B88" s="23"/>
      <c r="C88" s="24" t="s">
        <v>147</v>
      </c>
      <c r="G88" s="23"/>
      <c r="H88" s="25" t="s">
        <v>105</v>
      </c>
    </row>
    <row r="89" ht="14.25" customHeight="1">
      <c r="A89" s="26" t="s">
        <v>36</v>
      </c>
      <c r="B89" s="26" t="s">
        <v>37</v>
      </c>
      <c r="C89" s="26" t="s">
        <v>106</v>
      </c>
      <c r="D89" s="26" t="s">
        <v>107</v>
      </c>
      <c r="E89" s="26" t="s">
        <v>36</v>
      </c>
      <c r="F89" s="26" t="s">
        <v>37</v>
      </c>
      <c r="G89" s="26" t="s">
        <v>106</v>
      </c>
      <c r="H89" s="26" t="s">
        <v>107</v>
      </c>
    </row>
    <row r="90" ht="14.25" customHeight="1">
      <c r="A90" s="27">
        <v>46277.0</v>
      </c>
      <c r="B90" s="19" t="s">
        <v>148</v>
      </c>
      <c r="C90" s="19"/>
      <c r="D90" s="28">
        <v>1000.0</v>
      </c>
      <c r="E90" s="27">
        <v>46270.0</v>
      </c>
      <c r="F90" s="19" t="s">
        <v>120</v>
      </c>
      <c r="G90" s="19"/>
      <c r="H90" s="28">
        <v>18000.0</v>
      </c>
    </row>
    <row r="91" ht="14.25" customHeight="1">
      <c r="A91" s="27">
        <v>46281.0</v>
      </c>
      <c r="B91" s="19" t="s">
        <v>149</v>
      </c>
      <c r="C91" s="19"/>
      <c r="D91" s="28">
        <v>10000.0</v>
      </c>
      <c r="E91" s="27">
        <v>46287.0</v>
      </c>
      <c r="F91" s="19" t="s">
        <v>120</v>
      </c>
      <c r="G91" s="19"/>
      <c r="H91" s="28">
        <v>12000.0</v>
      </c>
    </row>
    <row r="92" ht="14.25" customHeight="1">
      <c r="A92" s="27">
        <v>46295.0</v>
      </c>
      <c r="B92" s="19" t="s">
        <v>145</v>
      </c>
      <c r="C92" s="19"/>
      <c r="D92" s="28">
        <v>19000.0</v>
      </c>
      <c r="E92" s="19"/>
      <c r="F92" s="19"/>
      <c r="G92" s="19"/>
      <c r="H92" s="28"/>
    </row>
    <row r="93" ht="14.25" customHeight="1">
      <c r="A93" s="27"/>
      <c r="B93" s="19"/>
      <c r="C93" s="19"/>
      <c r="D93" s="28"/>
      <c r="E93" s="19"/>
      <c r="F93" s="19"/>
      <c r="G93" s="19"/>
      <c r="H93" s="28"/>
    </row>
    <row r="94" ht="14.25" customHeight="1">
      <c r="A94" s="19"/>
      <c r="B94" s="19"/>
      <c r="C94" s="19"/>
      <c r="D94" s="29">
        <v>30000.0</v>
      </c>
      <c r="E94" s="19"/>
      <c r="F94" s="19"/>
      <c r="G94" s="19"/>
      <c r="H94" s="29">
        <v>30000.0</v>
      </c>
    </row>
    <row r="95" ht="14.25" customHeight="1">
      <c r="A95" s="27"/>
      <c r="B95" s="19"/>
      <c r="C95" s="19"/>
      <c r="D95" s="28"/>
      <c r="E95" s="27">
        <v>46296.0</v>
      </c>
      <c r="F95" s="19" t="s">
        <v>140</v>
      </c>
      <c r="G95" s="19"/>
      <c r="H95" s="29">
        <v>19000.0</v>
      </c>
    </row>
    <row r="96" ht="14.25" customHeight="1">
      <c r="D96" s="30"/>
      <c r="H96" s="30"/>
    </row>
    <row r="97" ht="14.25" customHeight="1">
      <c r="D97" s="30"/>
      <c r="H97" s="30"/>
    </row>
    <row r="98" ht="14.25" customHeight="1">
      <c r="A98" s="23" t="s">
        <v>103</v>
      </c>
      <c r="B98" s="23"/>
      <c r="C98" s="24" t="s">
        <v>150</v>
      </c>
      <c r="G98" s="23"/>
      <c r="H98" s="25" t="s">
        <v>105</v>
      </c>
    </row>
    <row r="99" ht="14.25" customHeight="1">
      <c r="A99" s="26" t="s">
        <v>36</v>
      </c>
      <c r="B99" s="26" t="s">
        <v>37</v>
      </c>
      <c r="C99" s="26" t="s">
        <v>106</v>
      </c>
      <c r="D99" s="26" t="s">
        <v>107</v>
      </c>
      <c r="E99" s="26" t="s">
        <v>36</v>
      </c>
      <c r="F99" s="26" t="s">
        <v>37</v>
      </c>
      <c r="G99" s="26" t="s">
        <v>106</v>
      </c>
      <c r="H99" s="26" t="s">
        <v>107</v>
      </c>
    </row>
    <row r="100" ht="14.25" customHeight="1">
      <c r="A100" s="27">
        <v>46272.0</v>
      </c>
      <c r="B100" s="19" t="s">
        <v>127</v>
      </c>
      <c r="C100" s="19"/>
      <c r="D100" s="28">
        <v>1200.0</v>
      </c>
      <c r="E100" s="27">
        <v>46295.0</v>
      </c>
      <c r="F100" s="19" t="s">
        <v>110</v>
      </c>
      <c r="G100" s="19"/>
      <c r="H100" s="28">
        <v>1200.0</v>
      </c>
    </row>
    <row r="101" ht="14.25" customHeight="1">
      <c r="A101" s="27"/>
      <c r="B101" s="19"/>
      <c r="C101" s="19"/>
      <c r="D101" s="28"/>
      <c r="E101" s="27"/>
      <c r="F101" s="19"/>
      <c r="G101" s="19"/>
      <c r="H101" s="28"/>
    </row>
    <row r="102" ht="14.25" customHeight="1">
      <c r="A102" s="27"/>
      <c r="B102" s="19"/>
      <c r="C102" s="19"/>
      <c r="D102" s="29">
        <v>1200.0</v>
      </c>
      <c r="E102" s="31"/>
      <c r="F102" s="31"/>
      <c r="G102" s="31"/>
      <c r="H102" s="29">
        <v>1200.0</v>
      </c>
    </row>
    <row r="103" ht="14.25" customHeight="1">
      <c r="A103" s="27">
        <v>46296.0</v>
      </c>
      <c r="B103" s="19" t="s">
        <v>108</v>
      </c>
      <c r="C103" s="19"/>
      <c r="D103" s="29">
        <v>1200.0</v>
      </c>
      <c r="E103" s="31"/>
      <c r="F103" s="31"/>
      <c r="G103" s="31"/>
      <c r="H103" s="29"/>
    </row>
    <row r="104" ht="14.25" customHeight="1"/>
    <row r="105" ht="14.25" customHeight="1"/>
    <row r="106" ht="14.25" customHeight="1">
      <c r="A106" s="23" t="s">
        <v>103</v>
      </c>
      <c r="B106" s="23"/>
      <c r="C106" s="24" t="s">
        <v>151</v>
      </c>
      <c r="G106" s="23"/>
      <c r="H106" s="25" t="s">
        <v>105</v>
      </c>
    </row>
    <row r="107" ht="14.25" customHeight="1">
      <c r="A107" s="26" t="s">
        <v>36</v>
      </c>
      <c r="B107" s="26" t="s">
        <v>37</v>
      </c>
      <c r="C107" s="26" t="s">
        <v>106</v>
      </c>
      <c r="D107" s="26" t="s">
        <v>107</v>
      </c>
      <c r="E107" s="26" t="s">
        <v>36</v>
      </c>
      <c r="F107" s="26" t="s">
        <v>37</v>
      </c>
      <c r="G107" s="26" t="s">
        <v>106</v>
      </c>
      <c r="H107" s="26" t="s">
        <v>107</v>
      </c>
    </row>
    <row r="108" ht="14.25" customHeight="1">
      <c r="A108" s="27">
        <v>46275.0</v>
      </c>
      <c r="B108" s="19" t="s">
        <v>114</v>
      </c>
      <c r="C108" s="19"/>
      <c r="D108" s="28">
        <v>22000.0</v>
      </c>
      <c r="E108" s="27">
        <v>46278.0</v>
      </c>
      <c r="F108" s="19" t="s">
        <v>152</v>
      </c>
      <c r="G108" s="19"/>
      <c r="H108" s="28">
        <v>2000.0</v>
      </c>
    </row>
    <row r="109" ht="14.25" customHeight="1">
      <c r="A109" s="27">
        <v>46288.0</v>
      </c>
      <c r="B109" s="19" t="s">
        <v>114</v>
      </c>
      <c r="C109" s="19"/>
      <c r="D109" s="28">
        <v>19000.0</v>
      </c>
      <c r="E109" s="27">
        <v>46280.0</v>
      </c>
      <c r="F109" s="19" t="s">
        <v>113</v>
      </c>
      <c r="G109" s="19"/>
      <c r="H109" s="28">
        <v>15000.0</v>
      </c>
    </row>
    <row r="110" ht="14.25" customHeight="1">
      <c r="A110" s="27"/>
      <c r="B110" s="19"/>
      <c r="C110" s="19"/>
      <c r="D110" s="28"/>
      <c r="E110" s="27">
        <v>46293.0</v>
      </c>
      <c r="F110" s="19" t="s">
        <v>113</v>
      </c>
      <c r="G110" s="19"/>
      <c r="H110" s="28">
        <v>12000.0</v>
      </c>
    </row>
    <row r="111" ht="14.25" customHeight="1">
      <c r="A111" s="27"/>
      <c r="B111" s="19"/>
      <c r="C111" s="19"/>
      <c r="D111" s="28"/>
      <c r="E111" s="27">
        <v>46295.0</v>
      </c>
      <c r="F111" s="19" t="s">
        <v>110</v>
      </c>
      <c r="G111" s="19"/>
      <c r="H111" s="28">
        <v>12000.0</v>
      </c>
    </row>
    <row r="112" ht="14.25" customHeight="1">
      <c r="A112" s="19"/>
      <c r="B112" s="19"/>
      <c r="C112" s="19"/>
      <c r="E112" s="19"/>
      <c r="F112" s="19"/>
      <c r="G112" s="19"/>
      <c r="H112" s="28"/>
    </row>
    <row r="113" ht="14.25" customHeight="1">
      <c r="A113" s="27"/>
      <c r="B113" s="19"/>
      <c r="C113" s="19"/>
      <c r="D113" s="29">
        <v>41000.0</v>
      </c>
      <c r="E113" s="32"/>
      <c r="F113" s="31"/>
      <c r="G113" s="31"/>
      <c r="H113" s="29">
        <f>SUM(H108:H111)</f>
        <v>41000</v>
      </c>
    </row>
    <row r="114" ht="14.25" customHeight="1">
      <c r="A114" s="27">
        <v>46296.0</v>
      </c>
      <c r="B114" s="19" t="s">
        <v>108</v>
      </c>
      <c r="C114" s="19"/>
      <c r="D114" s="29">
        <v>12000.0</v>
      </c>
      <c r="E114" s="31"/>
      <c r="F114" s="31"/>
      <c r="G114" s="31"/>
      <c r="H114" s="29"/>
    </row>
    <row r="115" ht="14.25" customHeight="1">
      <c r="D115" s="30"/>
      <c r="H115" s="30"/>
    </row>
    <row r="116" ht="14.25" customHeight="1">
      <c r="D116" s="30"/>
      <c r="H116" s="30"/>
    </row>
    <row r="117" ht="14.25" customHeight="1">
      <c r="A117" s="23" t="s">
        <v>103</v>
      </c>
      <c r="B117" s="23"/>
      <c r="C117" s="24" t="s">
        <v>153</v>
      </c>
      <c r="G117" s="23"/>
      <c r="H117" s="25" t="s">
        <v>105</v>
      </c>
    </row>
    <row r="118" ht="14.25" customHeight="1">
      <c r="A118" s="26" t="s">
        <v>36</v>
      </c>
      <c r="B118" s="26" t="s">
        <v>37</v>
      </c>
      <c r="C118" s="26" t="s">
        <v>106</v>
      </c>
      <c r="D118" s="26" t="s">
        <v>107</v>
      </c>
      <c r="E118" s="26" t="s">
        <v>36</v>
      </c>
      <c r="F118" s="26" t="s">
        <v>37</v>
      </c>
      <c r="G118" s="26" t="s">
        <v>106</v>
      </c>
      <c r="H118" s="26" t="s">
        <v>107</v>
      </c>
    </row>
    <row r="119" ht="14.25" customHeight="1">
      <c r="A119" s="27">
        <v>46276.0</v>
      </c>
      <c r="B119" s="19" t="s">
        <v>127</v>
      </c>
      <c r="C119" s="19"/>
      <c r="D119" s="28">
        <v>1500.0</v>
      </c>
      <c r="E119" s="27">
        <v>46295.0</v>
      </c>
      <c r="F119" s="19" t="s">
        <v>110</v>
      </c>
      <c r="G119" s="19"/>
      <c r="H119" s="28">
        <v>1500.0</v>
      </c>
    </row>
    <row r="120" ht="14.25" customHeight="1">
      <c r="A120" s="27"/>
      <c r="B120" s="19"/>
      <c r="C120" s="19"/>
      <c r="D120" s="28"/>
      <c r="E120" s="27"/>
      <c r="F120" s="19"/>
      <c r="G120" s="19"/>
      <c r="H120" s="28"/>
    </row>
    <row r="121" ht="14.25" customHeight="1">
      <c r="A121" s="27"/>
      <c r="B121" s="19"/>
      <c r="C121" s="19"/>
      <c r="D121" s="29">
        <v>1500.0</v>
      </c>
      <c r="E121" s="32"/>
      <c r="F121" s="31"/>
      <c r="G121" s="31"/>
      <c r="H121" s="29">
        <v>1500.0</v>
      </c>
    </row>
    <row r="122" ht="14.25" customHeight="1">
      <c r="A122" s="27">
        <v>46296.0</v>
      </c>
      <c r="B122" s="19" t="s">
        <v>108</v>
      </c>
      <c r="C122" s="19"/>
      <c r="D122" s="29">
        <v>1500.0</v>
      </c>
      <c r="E122" s="32"/>
      <c r="F122" s="31"/>
      <c r="G122" s="31"/>
      <c r="H122" s="29"/>
    </row>
    <row r="123" ht="14.25" customHeight="1"/>
    <row r="124" ht="14.25" customHeight="1"/>
    <row r="125" ht="14.25" customHeight="1">
      <c r="A125" s="23" t="s">
        <v>103</v>
      </c>
      <c r="B125" s="23"/>
      <c r="C125" s="24" t="s">
        <v>154</v>
      </c>
      <c r="G125" s="23"/>
      <c r="H125" s="25" t="s">
        <v>105</v>
      </c>
    </row>
    <row r="126" ht="14.25" customHeight="1">
      <c r="A126" s="26" t="s">
        <v>36</v>
      </c>
      <c r="B126" s="26" t="s">
        <v>37</v>
      </c>
      <c r="C126" s="26" t="s">
        <v>106</v>
      </c>
      <c r="D126" s="26" t="s">
        <v>107</v>
      </c>
      <c r="E126" s="26" t="s">
        <v>36</v>
      </c>
      <c r="F126" s="26" t="s">
        <v>37</v>
      </c>
      <c r="G126" s="26" t="s">
        <v>106</v>
      </c>
      <c r="H126" s="26" t="s">
        <v>107</v>
      </c>
    </row>
    <row r="127" ht="14.25" customHeight="1">
      <c r="A127" s="27">
        <v>46295.0</v>
      </c>
      <c r="B127" s="19" t="s">
        <v>145</v>
      </c>
      <c r="C127" s="19"/>
      <c r="D127" s="28">
        <v>1000.0</v>
      </c>
      <c r="E127" s="27">
        <v>46277.0</v>
      </c>
      <c r="F127" s="19" t="s">
        <v>128</v>
      </c>
      <c r="G127" s="19"/>
      <c r="H127" s="28">
        <v>1000.0</v>
      </c>
    </row>
    <row r="128" ht="14.25" customHeight="1">
      <c r="A128" s="27"/>
      <c r="B128" s="19"/>
      <c r="C128" s="19"/>
      <c r="D128" s="28"/>
      <c r="E128" s="27"/>
      <c r="F128" s="19"/>
      <c r="G128" s="19"/>
      <c r="H128" s="28"/>
    </row>
    <row r="129" ht="14.25" customHeight="1">
      <c r="A129" s="27"/>
      <c r="B129" s="19"/>
      <c r="C129" s="19"/>
      <c r="D129" s="29">
        <v>1000.0</v>
      </c>
      <c r="E129" s="27"/>
      <c r="F129" s="19"/>
      <c r="G129" s="19"/>
      <c r="H129" s="29">
        <v>1000.0</v>
      </c>
    </row>
    <row r="130" ht="14.25" customHeight="1">
      <c r="A130" s="27"/>
      <c r="B130" s="19"/>
      <c r="C130" s="19"/>
      <c r="D130" s="28"/>
      <c r="E130" s="27">
        <v>46296.0</v>
      </c>
      <c r="F130" s="19" t="s">
        <v>140</v>
      </c>
      <c r="G130" s="19"/>
      <c r="H130" s="29">
        <v>1000.0</v>
      </c>
    </row>
    <row r="131" ht="14.25" customHeight="1"/>
    <row r="132" ht="14.25" customHeight="1"/>
    <row r="133" ht="14.25" customHeight="1">
      <c r="A133" s="23" t="s">
        <v>103</v>
      </c>
      <c r="B133" s="23"/>
      <c r="C133" s="24" t="s">
        <v>155</v>
      </c>
      <c r="G133" s="23"/>
      <c r="H133" s="25" t="s">
        <v>105</v>
      </c>
    </row>
    <row r="134" ht="14.25" customHeight="1">
      <c r="A134" s="26" t="s">
        <v>36</v>
      </c>
      <c r="B134" s="26" t="s">
        <v>37</v>
      </c>
      <c r="C134" s="26" t="s">
        <v>106</v>
      </c>
      <c r="D134" s="26" t="s">
        <v>107</v>
      </c>
      <c r="E134" s="26" t="s">
        <v>36</v>
      </c>
      <c r="F134" s="26" t="s">
        <v>37</v>
      </c>
      <c r="G134" s="26" t="s">
        <v>106</v>
      </c>
      <c r="H134" s="26" t="s">
        <v>107</v>
      </c>
    </row>
    <row r="135" ht="14.25" customHeight="1">
      <c r="A135" s="27">
        <v>46278.0</v>
      </c>
      <c r="B135" s="19" t="s">
        <v>129</v>
      </c>
      <c r="C135" s="19"/>
      <c r="D135" s="28">
        <v>2000.0</v>
      </c>
      <c r="E135" s="27">
        <v>46295.0</v>
      </c>
      <c r="F135" s="19" t="s">
        <v>110</v>
      </c>
      <c r="G135" s="19"/>
      <c r="H135" s="28">
        <v>2000.0</v>
      </c>
    </row>
    <row r="136" ht="14.25" customHeight="1">
      <c r="A136" s="27"/>
      <c r="B136" s="19"/>
      <c r="C136" s="19"/>
      <c r="D136" s="28"/>
      <c r="E136" s="27"/>
      <c r="F136" s="19"/>
      <c r="G136" s="19"/>
      <c r="H136" s="28"/>
    </row>
    <row r="137" ht="14.25" customHeight="1">
      <c r="A137" s="27"/>
      <c r="B137" s="19"/>
      <c r="C137" s="19"/>
      <c r="D137" s="29">
        <v>2000.0</v>
      </c>
      <c r="E137" s="32"/>
      <c r="F137" s="31"/>
      <c r="G137" s="31"/>
      <c r="H137" s="29">
        <v>2000.0</v>
      </c>
    </row>
    <row r="138" ht="14.25" customHeight="1">
      <c r="A138" s="27">
        <v>46296.0</v>
      </c>
      <c r="B138" s="19" t="s">
        <v>108</v>
      </c>
      <c r="C138" s="19"/>
      <c r="D138" s="29">
        <v>2000.0</v>
      </c>
      <c r="E138" s="32"/>
      <c r="F138" s="31"/>
      <c r="G138" s="31"/>
      <c r="H138" s="29"/>
    </row>
    <row r="139" ht="14.25" customHeight="1">
      <c r="D139" s="30"/>
      <c r="H139" s="30"/>
    </row>
    <row r="140" ht="14.25" customHeight="1">
      <c r="D140" s="30"/>
      <c r="H140" s="30"/>
    </row>
    <row r="141" ht="14.25" customHeight="1">
      <c r="A141" s="23" t="s">
        <v>103</v>
      </c>
      <c r="B141" s="23"/>
      <c r="C141" s="24" t="s">
        <v>156</v>
      </c>
      <c r="G141" s="23"/>
      <c r="H141" s="25" t="s">
        <v>105</v>
      </c>
    </row>
    <row r="142" ht="14.25" customHeight="1">
      <c r="A142" s="26" t="s">
        <v>36</v>
      </c>
      <c r="B142" s="26" t="s">
        <v>37</v>
      </c>
      <c r="C142" s="26" t="s">
        <v>106</v>
      </c>
      <c r="D142" s="26" t="s">
        <v>107</v>
      </c>
      <c r="E142" s="26" t="s">
        <v>36</v>
      </c>
      <c r="F142" s="26" t="s">
        <v>37</v>
      </c>
      <c r="G142" s="26" t="s">
        <v>106</v>
      </c>
      <c r="H142" s="26" t="s">
        <v>107</v>
      </c>
    </row>
    <row r="143" ht="14.25" customHeight="1">
      <c r="A143" s="27">
        <v>46279.0</v>
      </c>
      <c r="B143" s="19" t="s">
        <v>127</v>
      </c>
      <c r="C143" s="19"/>
      <c r="D143" s="28">
        <v>900.0</v>
      </c>
      <c r="E143" s="27">
        <v>46295.0</v>
      </c>
      <c r="F143" s="19" t="s">
        <v>110</v>
      </c>
      <c r="G143" s="19"/>
      <c r="H143" s="28">
        <v>900.0</v>
      </c>
    </row>
    <row r="144" ht="14.25" customHeight="1">
      <c r="A144" s="27"/>
      <c r="B144" s="19"/>
      <c r="C144" s="19"/>
      <c r="D144" s="28"/>
      <c r="E144" s="27"/>
      <c r="F144" s="19"/>
      <c r="G144" s="19"/>
      <c r="H144" s="28"/>
    </row>
    <row r="145" ht="14.25" customHeight="1">
      <c r="A145" s="27"/>
      <c r="B145" s="19"/>
      <c r="C145" s="19"/>
      <c r="D145" s="29">
        <v>900.0</v>
      </c>
      <c r="E145" s="32"/>
      <c r="F145" s="31"/>
      <c r="G145" s="31"/>
      <c r="H145" s="29">
        <v>900.0</v>
      </c>
    </row>
    <row r="146" ht="14.25" customHeight="1">
      <c r="A146" s="27">
        <v>46296.0</v>
      </c>
      <c r="B146" s="19" t="s">
        <v>108</v>
      </c>
      <c r="C146" s="19"/>
      <c r="D146" s="29">
        <v>900.0</v>
      </c>
      <c r="E146" s="32"/>
      <c r="F146" s="31"/>
      <c r="G146" s="31"/>
      <c r="H146" s="29"/>
    </row>
    <row r="147" ht="14.25" customHeight="1">
      <c r="D147" s="30"/>
      <c r="H147" s="30"/>
    </row>
    <row r="148" ht="14.25" customHeight="1">
      <c r="D148" s="30"/>
      <c r="H148" s="30"/>
    </row>
    <row r="149" ht="14.25" customHeight="1">
      <c r="A149" s="23" t="s">
        <v>103</v>
      </c>
      <c r="B149" s="23"/>
      <c r="C149" s="24" t="s">
        <v>157</v>
      </c>
      <c r="G149" s="23"/>
      <c r="H149" s="25" t="s">
        <v>105</v>
      </c>
    </row>
    <row r="150" ht="14.25" customHeight="1">
      <c r="A150" s="26" t="s">
        <v>36</v>
      </c>
      <c r="B150" s="26" t="s">
        <v>37</v>
      </c>
      <c r="C150" s="26" t="s">
        <v>106</v>
      </c>
      <c r="D150" s="26" t="s">
        <v>107</v>
      </c>
      <c r="E150" s="26" t="s">
        <v>36</v>
      </c>
      <c r="F150" s="26" t="s">
        <v>37</v>
      </c>
      <c r="G150" s="26" t="s">
        <v>106</v>
      </c>
      <c r="H150" s="26" t="s">
        <v>107</v>
      </c>
    </row>
    <row r="151" ht="14.25" customHeight="1">
      <c r="A151" s="27">
        <v>46283.0</v>
      </c>
      <c r="B151" s="19" t="s">
        <v>127</v>
      </c>
      <c r="C151" s="19"/>
      <c r="D151" s="28">
        <v>3500.0</v>
      </c>
      <c r="E151" s="27">
        <v>46295.0</v>
      </c>
      <c r="F151" s="19" t="s">
        <v>110</v>
      </c>
      <c r="G151" s="19"/>
      <c r="H151" s="28">
        <v>3500.0</v>
      </c>
    </row>
    <row r="152" ht="14.25" customHeight="1">
      <c r="A152" s="27"/>
      <c r="B152" s="19"/>
      <c r="C152" s="19"/>
      <c r="D152" s="28"/>
      <c r="E152" s="27"/>
      <c r="F152" s="19"/>
      <c r="G152" s="19"/>
      <c r="H152" s="28"/>
    </row>
    <row r="153" ht="14.25" customHeight="1">
      <c r="A153" s="27"/>
      <c r="B153" s="19"/>
      <c r="C153" s="19"/>
      <c r="D153" s="29">
        <v>3500.0</v>
      </c>
      <c r="E153" s="32"/>
      <c r="F153" s="31"/>
      <c r="G153" s="31"/>
      <c r="H153" s="29">
        <v>3500.0</v>
      </c>
    </row>
    <row r="154" ht="14.25" customHeight="1">
      <c r="A154" s="27">
        <v>46296.0</v>
      </c>
      <c r="B154" s="19" t="s">
        <v>108</v>
      </c>
      <c r="C154" s="19"/>
      <c r="D154" s="29">
        <v>3500.0</v>
      </c>
      <c r="E154" s="32"/>
      <c r="F154" s="31"/>
      <c r="G154" s="31"/>
      <c r="H154" s="29"/>
    </row>
    <row r="155" ht="14.25" customHeight="1">
      <c r="D155" s="30"/>
      <c r="H155" s="30"/>
    </row>
    <row r="156" ht="14.25" customHeight="1">
      <c r="D156" s="30"/>
      <c r="H156" s="30"/>
    </row>
    <row r="157" ht="14.25" customHeight="1">
      <c r="A157" s="23" t="s">
        <v>103</v>
      </c>
      <c r="B157" s="23"/>
      <c r="C157" s="24" t="s">
        <v>158</v>
      </c>
      <c r="G157" s="23"/>
      <c r="H157" s="25" t="s">
        <v>105</v>
      </c>
    </row>
    <row r="158" ht="14.25" customHeight="1">
      <c r="A158" s="26" t="s">
        <v>36</v>
      </c>
      <c r="B158" s="26" t="s">
        <v>37</v>
      </c>
      <c r="C158" s="26" t="s">
        <v>106</v>
      </c>
      <c r="D158" s="26" t="s">
        <v>107</v>
      </c>
      <c r="E158" s="26" t="s">
        <v>36</v>
      </c>
      <c r="F158" s="26" t="s">
        <v>37</v>
      </c>
      <c r="G158" s="26" t="s">
        <v>106</v>
      </c>
      <c r="H158" s="26" t="s">
        <v>107</v>
      </c>
    </row>
    <row r="159" ht="14.25" customHeight="1">
      <c r="A159" s="27">
        <v>46284.0</v>
      </c>
      <c r="B159" s="19" t="s">
        <v>127</v>
      </c>
      <c r="C159" s="19"/>
      <c r="D159" s="28">
        <v>4800.0</v>
      </c>
      <c r="E159" s="27">
        <v>46295.0</v>
      </c>
      <c r="F159" s="19" t="s">
        <v>110</v>
      </c>
      <c r="G159" s="19"/>
      <c r="H159" s="28">
        <v>4800.0</v>
      </c>
    </row>
    <row r="160" ht="14.25" customHeight="1">
      <c r="A160" s="27"/>
      <c r="B160" s="19"/>
      <c r="C160" s="19"/>
      <c r="D160" s="28"/>
      <c r="E160" s="27"/>
      <c r="F160" s="19"/>
      <c r="G160" s="19"/>
      <c r="H160" s="28"/>
    </row>
    <row r="161" ht="14.25" customHeight="1">
      <c r="A161" s="27"/>
      <c r="B161" s="19"/>
      <c r="C161" s="19"/>
      <c r="D161" s="29">
        <v>4800.0</v>
      </c>
      <c r="E161" s="32"/>
      <c r="F161" s="31"/>
      <c r="G161" s="31"/>
      <c r="H161" s="29">
        <v>4800.0</v>
      </c>
    </row>
    <row r="162" ht="14.25" customHeight="1">
      <c r="A162" s="27">
        <v>46296.0</v>
      </c>
      <c r="B162" s="19" t="s">
        <v>108</v>
      </c>
      <c r="C162" s="19"/>
      <c r="D162" s="29">
        <v>4800.0</v>
      </c>
      <c r="E162" s="32"/>
      <c r="F162" s="31"/>
      <c r="G162" s="31"/>
      <c r="H162" s="29"/>
    </row>
    <row r="163" ht="14.25" customHeight="1">
      <c r="D163" s="30"/>
      <c r="H163" s="30"/>
    </row>
    <row r="164" ht="14.25" customHeight="1">
      <c r="D164" s="30"/>
      <c r="H164" s="30"/>
    </row>
    <row r="165" ht="14.25" customHeight="1">
      <c r="A165" s="23" t="s">
        <v>103</v>
      </c>
      <c r="B165" s="23"/>
      <c r="C165" s="24" t="s">
        <v>159</v>
      </c>
      <c r="G165" s="23"/>
      <c r="H165" s="25" t="s">
        <v>105</v>
      </c>
    </row>
    <row r="166" ht="14.25" customHeight="1">
      <c r="A166" s="26" t="s">
        <v>36</v>
      </c>
      <c r="B166" s="26" t="s">
        <v>37</v>
      </c>
      <c r="C166" s="26" t="s">
        <v>106</v>
      </c>
      <c r="D166" s="26" t="s">
        <v>107</v>
      </c>
      <c r="E166" s="26" t="s">
        <v>36</v>
      </c>
      <c r="F166" s="26" t="s">
        <v>37</v>
      </c>
      <c r="G166" s="26" t="s">
        <v>106</v>
      </c>
      <c r="H166" s="26" t="s">
        <v>107</v>
      </c>
    </row>
    <row r="167" ht="14.25" customHeight="1">
      <c r="A167" s="27">
        <v>46286.0</v>
      </c>
      <c r="B167" s="19" t="s">
        <v>127</v>
      </c>
      <c r="C167" s="19"/>
      <c r="D167" s="28">
        <v>3000.0</v>
      </c>
      <c r="E167" s="27">
        <v>46295.0</v>
      </c>
      <c r="F167" s="19" t="s">
        <v>110</v>
      </c>
      <c r="G167" s="19"/>
      <c r="H167" s="28">
        <v>3000.0</v>
      </c>
    </row>
    <row r="168" ht="14.25" customHeight="1">
      <c r="A168" s="27"/>
      <c r="B168" s="19"/>
      <c r="C168" s="19"/>
      <c r="D168" s="28"/>
      <c r="E168" s="27"/>
      <c r="F168" s="19"/>
      <c r="G168" s="19"/>
      <c r="H168" s="28"/>
    </row>
    <row r="169" ht="14.25" customHeight="1">
      <c r="A169" s="27"/>
      <c r="B169" s="19"/>
      <c r="C169" s="19"/>
      <c r="D169" s="29">
        <v>3000.0</v>
      </c>
      <c r="E169" s="32"/>
      <c r="F169" s="31"/>
      <c r="G169" s="31"/>
      <c r="H169" s="29">
        <v>3000.0</v>
      </c>
    </row>
    <row r="170" ht="14.25" customHeight="1">
      <c r="A170" s="27">
        <v>46296.0</v>
      </c>
      <c r="B170" s="19" t="s">
        <v>108</v>
      </c>
      <c r="C170" s="19"/>
      <c r="D170" s="29">
        <v>3000.0</v>
      </c>
      <c r="E170" s="32"/>
      <c r="F170" s="31"/>
      <c r="G170" s="31"/>
      <c r="H170" s="29"/>
    </row>
    <row r="171" ht="14.25" customHeight="1">
      <c r="D171" s="30"/>
      <c r="H171" s="30"/>
    </row>
    <row r="172" ht="14.25" customHeight="1">
      <c r="D172" s="30"/>
      <c r="H172" s="30"/>
    </row>
    <row r="173" ht="14.25" customHeight="1">
      <c r="A173" s="23" t="s">
        <v>103</v>
      </c>
      <c r="B173" s="23"/>
      <c r="C173" s="24" t="s">
        <v>160</v>
      </c>
      <c r="G173" s="23"/>
      <c r="H173" s="25" t="s">
        <v>105</v>
      </c>
    </row>
    <row r="174" ht="14.25" customHeight="1">
      <c r="A174" s="26" t="s">
        <v>36</v>
      </c>
      <c r="B174" s="26" t="s">
        <v>37</v>
      </c>
      <c r="C174" s="26" t="s">
        <v>106</v>
      </c>
      <c r="D174" s="26" t="s">
        <v>107</v>
      </c>
      <c r="E174" s="26" t="s">
        <v>36</v>
      </c>
      <c r="F174" s="26" t="s">
        <v>37</v>
      </c>
      <c r="G174" s="26" t="s">
        <v>106</v>
      </c>
      <c r="H174" s="26" t="s">
        <v>107</v>
      </c>
    </row>
    <row r="175" ht="14.25" customHeight="1">
      <c r="A175" s="27">
        <v>46295.0</v>
      </c>
      <c r="B175" s="19" t="s">
        <v>110</v>
      </c>
      <c r="C175" s="19"/>
      <c r="D175" s="28">
        <v>1800.0</v>
      </c>
      <c r="E175" s="27">
        <v>46289.0</v>
      </c>
      <c r="F175" s="19" t="s">
        <v>127</v>
      </c>
      <c r="G175" s="19"/>
      <c r="H175" s="28">
        <v>1800.0</v>
      </c>
    </row>
    <row r="176" ht="14.25" customHeight="1">
      <c r="A176" s="19"/>
      <c r="B176" s="19"/>
      <c r="C176" s="19"/>
      <c r="D176" s="28"/>
      <c r="E176" s="27"/>
      <c r="F176" s="19"/>
      <c r="G176" s="19"/>
      <c r="H176" s="28"/>
    </row>
    <row r="177" ht="14.25" customHeight="1">
      <c r="A177" s="27"/>
      <c r="B177" s="19"/>
      <c r="C177" s="19"/>
      <c r="D177" s="29">
        <v>1800.0</v>
      </c>
      <c r="E177" s="32"/>
      <c r="F177" s="31"/>
      <c r="G177" s="31"/>
      <c r="H177" s="29">
        <v>1800.0</v>
      </c>
    </row>
    <row r="178" ht="14.25" customHeight="1">
      <c r="A178" s="19"/>
      <c r="B178" s="19"/>
      <c r="C178" s="19"/>
      <c r="D178" s="19"/>
      <c r="E178" s="27">
        <v>46296.0</v>
      </c>
      <c r="F178" s="19" t="s">
        <v>108</v>
      </c>
      <c r="G178" s="19"/>
      <c r="H178" s="29">
        <v>1800.0</v>
      </c>
    </row>
    <row r="179" ht="14.25" customHeight="1">
      <c r="D179" s="30"/>
      <c r="H179" s="30"/>
    </row>
    <row r="180" ht="14.25" customHeight="1">
      <c r="D180" s="30"/>
      <c r="H180" s="30"/>
    </row>
    <row r="181" ht="14.25" customHeight="1">
      <c r="A181" s="23" t="s">
        <v>103</v>
      </c>
      <c r="B181" s="23"/>
      <c r="C181" s="24" t="s">
        <v>161</v>
      </c>
      <c r="G181" s="23"/>
      <c r="H181" s="25" t="s">
        <v>105</v>
      </c>
    </row>
    <row r="182" ht="14.25" customHeight="1">
      <c r="A182" s="26" t="s">
        <v>36</v>
      </c>
      <c r="B182" s="26" t="s">
        <v>37</v>
      </c>
      <c r="C182" s="26" t="s">
        <v>106</v>
      </c>
      <c r="D182" s="26" t="s">
        <v>107</v>
      </c>
      <c r="E182" s="26" t="s">
        <v>36</v>
      </c>
      <c r="F182" s="26" t="s">
        <v>37</v>
      </c>
      <c r="G182" s="26" t="s">
        <v>106</v>
      </c>
      <c r="H182" s="26" t="s">
        <v>107</v>
      </c>
    </row>
    <row r="183" ht="14.25" customHeight="1">
      <c r="A183" s="27">
        <v>46290.0</v>
      </c>
      <c r="B183" s="19" t="s">
        <v>149</v>
      </c>
      <c r="C183" s="19"/>
      <c r="D183" s="28">
        <v>4000.0</v>
      </c>
      <c r="E183" s="27">
        <v>46295.0</v>
      </c>
      <c r="F183" s="19" t="s">
        <v>110</v>
      </c>
      <c r="G183" s="19"/>
      <c r="H183" s="28">
        <v>4000.0</v>
      </c>
    </row>
    <row r="184" ht="14.25" customHeight="1">
      <c r="A184" s="27"/>
      <c r="B184" s="19"/>
      <c r="C184" s="19"/>
      <c r="D184" s="28"/>
      <c r="E184" s="27"/>
      <c r="F184" s="19"/>
      <c r="G184" s="19"/>
      <c r="H184" s="28"/>
    </row>
    <row r="185" ht="14.25" customHeight="1">
      <c r="A185" s="27"/>
      <c r="B185" s="19"/>
      <c r="C185" s="19"/>
      <c r="D185" s="29">
        <v>4000.0</v>
      </c>
      <c r="E185" s="32"/>
      <c r="F185" s="31"/>
      <c r="G185" s="31"/>
      <c r="H185" s="29">
        <v>4000.0</v>
      </c>
    </row>
    <row r="186" ht="14.25" customHeight="1">
      <c r="A186" s="27">
        <v>46296.0</v>
      </c>
      <c r="B186" s="19" t="s">
        <v>108</v>
      </c>
      <c r="C186" s="19"/>
      <c r="D186" s="29">
        <v>4000.0</v>
      </c>
      <c r="E186" s="32"/>
      <c r="F186" s="31"/>
      <c r="G186" s="31"/>
      <c r="H186" s="29"/>
    </row>
    <row r="187" ht="14.25" customHeight="1">
      <c r="D187" s="30"/>
      <c r="H187" s="30"/>
    </row>
    <row r="188" ht="14.25" customHeight="1">
      <c r="D188" s="30"/>
      <c r="H188" s="30"/>
    </row>
    <row r="189" ht="14.25" customHeight="1">
      <c r="A189" s="23" t="s">
        <v>103</v>
      </c>
      <c r="B189" s="23"/>
      <c r="C189" s="24" t="s">
        <v>162</v>
      </c>
      <c r="G189" s="23"/>
      <c r="H189" s="25" t="s">
        <v>105</v>
      </c>
    </row>
    <row r="190" ht="14.25" customHeight="1">
      <c r="A190" s="26" t="s">
        <v>36</v>
      </c>
      <c r="B190" s="26" t="s">
        <v>37</v>
      </c>
      <c r="C190" s="26" t="s">
        <v>106</v>
      </c>
      <c r="D190" s="26" t="s">
        <v>107</v>
      </c>
      <c r="E190" s="26" t="s">
        <v>36</v>
      </c>
      <c r="F190" s="26" t="s">
        <v>37</v>
      </c>
      <c r="G190" s="26" t="s">
        <v>106</v>
      </c>
      <c r="H190" s="26" t="s">
        <v>107</v>
      </c>
    </row>
    <row r="191" ht="14.25" customHeight="1">
      <c r="A191" s="27">
        <v>46292.0</v>
      </c>
      <c r="B191" s="19" t="s">
        <v>127</v>
      </c>
      <c r="C191" s="19"/>
      <c r="D191" s="28">
        <v>1100.0</v>
      </c>
      <c r="E191" s="27">
        <v>46295.0</v>
      </c>
      <c r="F191" s="19" t="s">
        <v>110</v>
      </c>
      <c r="G191" s="19"/>
      <c r="H191" s="28">
        <v>1100.0</v>
      </c>
    </row>
    <row r="192" ht="14.25" customHeight="1">
      <c r="A192" s="27"/>
      <c r="B192" s="19"/>
      <c r="C192" s="19"/>
      <c r="D192" s="28"/>
      <c r="E192" s="27"/>
      <c r="F192" s="19"/>
      <c r="G192" s="19"/>
      <c r="H192" s="28"/>
    </row>
    <row r="193" ht="14.25" customHeight="1">
      <c r="A193" s="27"/>
      <c r="B193" s="19"/>
      <c r="C193" s="19"/>
      <c r="D193" s="29">
        <v>1100.0</v>
      </c>
      <c r="E193" s="32"/>
      <c r="F193" s="31"/>
      <c r="G193" s="31"/>
      <c r="H193" s="29">
        <v>1100.0</v>
      </c>
    </row>
    <row r="194" ht="14.25" customHeight="1">
      <c r="A194" s="27">
        <v>46296.0</v>
      </c>
      <c r="B194" s="19" t="s">
        <v>108</v>
      </c>
      <c r="C194" s="19"/>
      <c r="D194" s="29">
        <v>1100.0</v>
      </c>
      <c r="E194" s="32"/>
      <c r="F194" s="31"/>
      <c r="G194" s="31"/>
      <c r="H194" s="29"/>
    </row>
    <row r="195" ht="14.25" customHeight="1">
      <c r="D195" s="30"/>
      <c r="H195" s="30"/>
    </row>
    <row r="196" ht="14.25" customHeight="1">
      <c r="D196" s="30"/>
      <c r="H196" s="30"/>
    </row>
    <row r="197" ht="14.25" customHeight="1">
      <c r="A197" s="23" t="s">
        <v>103</v>
      </c>
      <c r="B197" s="23"/>
      <c r="C197" s="24" t="s">
        <v>163</v>
      </c>
      <c r="G197" s="23"/>
      <c r="H197" s="25" t="s">
        <v>105</v>
      </c>
    </row>
    <row r="198" ht="14.25" customHeight="1">
      <c r="A198" s="26" t="s">
        <v>36</v>
      </c>
      <c r="B198" s="26" t="s">
        <v>37</v>
      </c>
      <c r="C198" s="26" t="s">
        <v>106</v>
      </c>
      <c r="D198" s="26" t="s">
        <v>107</v>
      </c>
      <c r="E198" s="26" t="s">
        <v>36</v>
      </c>
      <c r="F198" s="26" t="s">
        <v>37</v>
      </c>
      <c r="G198" s="26" t="s">
        <v>106</v>
      </c>
      <c r="H198" s="26" t="s">
        <v>107</v>
      </c>
    </row>
    <row r="199" ht="14.25" customHeight="1">
      <c r="A199" s="27">
        <v>46293.0</v>
      </c>
      <c r="B199" s="19" t="s">
        <v>127</v>
      </c>
      <c r="C199" s="19"/>
      <c r="D199" s="28">
        <v>1600.0</v>
      </c>
      <c r="E199" s="27">
        <v>46295.0</v>
      </c>
      <c r="F199" s="19" t="s">
        <v>110</v>
      </c>
      <c r="G199" s="19"/>
      <c r="H199" s="28">
        <v>1600.0</v>
      </c>
    </row>
    <row r="200" ht="14.25" customHeight="1">
      <c r="A200" s="27"/>
      <c r="B200" s="19"/>
      <c r="C200" s="19"/>
      <c r="D200" s="28"/>
      <c r="E200" s="27"/>
      <c r="F200" s="19"/>
      <c r="G200" s="19"/>
      <c r="H200" s="28"/>
    </row>
    <row r="201" ht="14.25" customHeight="1">
      <c r="A201" s="27"/>
      <c r="B201" s="19"/>
      <c r="C201" s="19"/>
      <c r="D201" s="29">
        <v>1600.0</v>
      </c>
      <c r="E201" s="32"/>
      <c r="F201" s="31"/>
      <c r="G201" s="31"/>
      <c r="H201" s="29">
        <v>1600.0</v>
      </c>
    </row>
    <row r="202" ht="14.25" customHeight="1">
      <c r="A202" s="27">
        <v>46296.0</v>
      </c>
      <c r="B202" s="19" t="s">
        <v>108</v>
      </c>
      <c r="C202" s="19"/>
      <c r="D202" s="29">
        <v>1600.0</v>
      </c>
      <c r="E202" s="32"/>
      <c r="F202" s="31"/>
      <c r="G202" s="31"/>
      <c r="H202" s="29"/>
    </row>
    <row r="203" ht="14.25" customHeight="1">
      <c r="D203" s="30"/>
      <c r="H203" s="30"/>
    </row>
    <row r="204" ht="14.25" customHeight="1">
      <c r="D204" s="30"/>
      <c r="H204" s="30"/>
    </row>
    <row r="205" ht="14.25" customHeight="1">
      <c r="A205" s="23" t="s">
        <v>103</v>
      </c>
      <c r="B205" s="23"/>
      <c r="C205" s="24" t="s">
        <v>164</v>
      </c>
      <c r="G205" s="23"/>
      <c r="H205" s="25" t="s">
        <v>105</v>
      </c>
    </row>
    <row r="206" ht="14.25" customHeight="1">
      <c r="A206" s="26" t="s">
        <v>36</v>
      </c>
      <c r="B206" s="26" t="s">
        <v>37</v>
      </c>
      <c r="C206" s="26" t="s">
        <v>106</v>
      </c>
      <c r="D206" s="26" t="s">
        <v>107</v>
      </c>
      <c r="E206" s="26" t="s">
        <v>36</v>
      </c>
      <c r="F206" s="26" t="s">
        <v>37</v>
      </c>
      <c r="G206" s="26" t="s">
        <v>106</v>
      </c>
      <c r="H206" s="26" t="s">
        <v>107</v>
      </c>
    </row>
    <row r="207" ht="14.25" customHeight="1">
      <c r="A207" s="27">
        <v>46294.0</v>
      </c>
      <c r="B207" s="19" t="s">
        <v>149</v>
      </c>
      <c r="C207" s="19"/>
      <c r="D207" s="28">
        <v>400.0</v>
      </c>
      <c r="E207" s="27">
        <v>46295.0</v>
      </c>
      <c r="F207" s="19" t="s">
        <v>110</v>
      </c>
      <c r="G207" s="19"/>
      <c r="H207" s="28">
        <v>400.0</v>
      </c>
    </row>
    <row r="208" ht="14.25" customHeight="1">
      <c r="A208" s="27"/>
      <c r="B208" s="19"/>
      <c r="C208" s="19"/>
      <c r="D208" s="28"/>
      <c r="E208" s="27"/>
      <c r="F208" s="19"/>
      <c r="G208" s="19"/>
      <c r="H208" s="28"/>
    </row>
    <row r="209" ht="14.25" customHeight="1">
      <c r="A209" s="27"/>
      <c r="B209" s="19"/>
      <c r="C209" s="19"/>
      <c r="D209" s="29">
        <v>400.0</v>
      </c>
      <c r="E209" s="32"/>
      <c r="F209" s="31"/>
      <c r="G209" s="31"/>
      <c r="H209" s="29">
        <v>400.0</v>
      </c>
    </row>
    <row r="210" ht="14.25" customHeight="1">
      <c r="A210" s="27">
        <v>46296.0</v>
      </c>
      <c r="B210" s="19" t="s">
        <v>108</v>
      </c>
      <c r="C210" s="19"/>
      <c r="D210" s="29">
        <v>400.0</v>
      </c>
      <c r="E210" s="32"/>
      <c r="F210" s="31"/>
      <c r="G210" s="31"/>
      <c r="H210" s="29"/>
    </row>
    <row r="211" ht="14.25" customHeight="1">
      <c r="D211" s="30"/>
      <c r="H211" s="30"/>
    </row>
    <row r="212" ht="14.25" customHeight="1">
      <c r="D212" s="30"/>
      <c r="H212" s="30"/>
    </row>
    <row r="213" ht="14.25" customHeight="1">
      <c r="A213" s="23" t="s">
        <v>103</v>
      </c>
      <c r="B213" s="23"/>
      <c r="C213" s="24" t="s">
        <v>165</v>
      </c>
      <c r="G213" s="23"/>
      <c r="H213" s="25" t="s">
        <v>105</v>
      </c>
    </row>
    <row r="214" ht="14.25" customHeight="1">
      <c r="A214" s="26" t="s">
        <v>36</v>
      </c>
      <c r="B214" s="26" t="s">
        <v>37</v>
      </c>
      <c r="C214" s="26" t="s">
        <v>106</v>
      </c>
      <c r="D214" s="26" t="s">
        <v>107</v>
      </c>
      <c r="E214" s="26" t="s">
        <v>36</v>
      </c>
      <c r="F214" s="26" t="s">
        <v>37</v>
      </c>
      <c r="G214" s="26" t="s">
        <v>106</v>
      </c>
      <c r="H214" s="26" t="s">
        <v>107</v>
      </c>
    </row>
    <row r="215" ht="14.25" customHeight="1">
      <c r="A215" s="27">
        <v>46295.0</v>
      </c>
      <c r="B215" s="19" t="s">
        <v>127</v>
      </c>
      <c r="C215" s="19"/>
      <c r="D215" s="28">
        <v>1300.0</v>
      </c>
      <c r="E215" s="27">
        <v>46295.0</v>
      </c>
      <c r="F215" s="19" t="s">
        <v>110</v>
      </c>
      <c r="G215" s="19"/>
      <c r="H215" s="28">
        <v>1300.0</v>
      </c>
    </row>
    <row r="216" ht="14.25" customHeight="1">
      <c r="A216" s="27"/>
      <c r="B216" s="19"/>
      <c r="C216" s="19"/>
      <c r="D216" s="28"/>
      <c r="E216" s="27"/>
      <c r="F216" s="19"/>
      <c r="G216" s="19"/>
      <c r="H216" s="28"/>
    </row>
    <row r="217" ht="14.25" customHeight="1">
      <c r="A217" s="27"/>
      <c r="B217" s="19"/>
      <c r="C217" s="19"/>
      <c r="D217" s="29">
        <v>1300.0</v>
      </c>
      <c r="E217" s="32"/>
      <c r="F217" s="31"/>
      <c r="G217" s="31"/>
      <c r="H217" s="29">
        <v>1300.0</v>
      </c>
    </row>
    <row r="218" ht="14.25" customHeight="1">
      <c r="A218" s="27">
        <v>46296.0</v>
      </c>
      <c r="B218" s="19" t="s">
        <v>108</v>
      </c>
      <c r="C218" s="19"/>
      <c r="D218" s="29">
        <v>1300.0</v>
      </c>
      <c r="E218" s="32"/>
      <c r="F218" s="31"/>
      <c r="G218" s="31"/>
      <c r="H218" s="29"/>
    </row>
    <row r="219" ht="14.25" customHeight="1">
      <c r="D219" s="30"/>
      <c r="H219" s="30"/>
    </row>
    <row r="220" ht="14.25" customHeight="1">
      <c r="D220" s="30"/>
      <c r="H220" s="30"/>
    </row>
    <row r="221" ht="14.25" customHeight="1">
      <c r="A221" s="23" t="s">
        <v>103</v>
      </c>
      <c r="B221" s="23"/>
      <c r="C221" s="24" t="s">
        <v>166</v>
      </c>
      <c r="G221" s="23"/>
      <c r="H221" s="25" t="s">
        <v>105</v>
      </c>
    </row>
    <row r="222" ht="14.25" customHeight="1">
      <c r="A222" s="26" t="s">
        <v>36</v>
      </c>
      <c r="B222" s="26" t="s">
        <v>37</v>
      </c>
      <c r="C222" s="26" t="s">
        <v>106</v>
      </c>
      <c r="D222" s="26" t="s">
        <v>107</v>
      </c>
      <c r="E222" s="26" t="s">
        <v>36</v>
      </c>
      <c r="F222" s="26" t="s">
        <v>37</v>
      </c>
      <c r="G222" s="26" t="s">
        <v>106</v>
      </c>
      <c r="H222" s="26" t="s">
        <v>107</v>
      </c>
    </row>
    <row r="223" ht="14.25" customHeight="1">
      <c r="A223" s="27">
        <v>46295.0</v>
      </c>
      <c r="B223" s="19" t="s">
        <v>149</v>
      </c>
      <c r="C223" s="19"/>
      <c r="D223" s="28">
        <v>10000.0</v>
      </c>
      <c r="E223" s="27">
        <v>46295.0</v>
      </c>
      <c r="F223" s="19" t="s">
        <v>110</v>
      </c>
      <c r="G223" s="19"/>
      <c r="H223" s="28">
        <v>10000.0</v>
      </c>
    </row>
    <row r="224" ht="14.25" customHeight="1">
      <c r="A224" s="27"/>
      <c r="B224" s="19"/>
      <c r="C224" s="19"/>
      <c r="D224" s="28"/>
      <c r="E224" s="27"/>
      <c r="F224" s="19"/>
      <c r="G224" s="19"/>
      <c r="H224" s="28"/>
    </row>
    <row r="225" ht="14.25" customHeight="1">
      <c r="A225" s="27"/>
      <c r="B225" s="19"/>
      <c r="C225" s="19"/>
      <c r="D225" s="29">
        <v>10000.0</v>
      </c>
      <c r="E225" s="32"/>
      <c r="F225" s="31"/>
      <c r="G225" s="31"/>
      <c r="H225" s="29">
        <v>10000.0</v>
      </c>
    </row>
    <row r="226" ht="14.25" customHeight="1">
      <c r="A226" s="27">
        <v>46296.0</v>
      </c>
      <c r="B226" s="19" t="s">
        <v>108</v>
      </c>
      <c r="C226" s="19"/>
      <c r="D226" s="29">
        <v>10000.0</v>
      </c>
      <c r="E226" s="32"/>
      <c r="F226" s="31"/>
      <c r="G226" s="31"/>
      <c r="H226" s="29"/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A1:H1"/>
    <mergeCell ref="C3:F3"/>
    <mergeCell ref="C11:F11"/>
    <mergeCell ref="C30:F30"/>
    <mergeCell ref="C43:F43"/>
    <mergeCell ref="C51:F51"/>
    <mergeCell ref="C59:F59"/>
    <mergeCell ref="C67:F67"/>
    <mergeCell ref="C77:F77"/>
    <mergeCell ref="C88:F88"/>
    <mergeCell ref="C98:F98"/>
    <mergeCell ref="C106:F106"/>
    <mergeCell ref="C117:F117"/>
    <mergeCell ref="C125:F125"/>
    <mergeCell ref="C189:F189"/>
    <mergeCell ref="C197:F197"/>
    <mergeCell ref="C205:F205"/>
    <mergeCell ref="C213:F213"/>
    <mergeCell ref="C221:F221"/>
    <mergeCell ref="C133:F133"/>
    <mergeCell ref="C141:F141"/>
    <mergeCell ref="C149:F149"/>
    <mergeCell ref="C157:F157"/>
    <mergeCell ref="C165:F165"/>
    <mergeCell ref="C173:F173"/>
    <mergeCell ref="C181:F18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43.63"/>
    <col customWidth="1" min="3" max="3" width="17.88"/>
    <col customWidth="1" min="4" max="4" width="17.63"/>
    <col customWidth="1" min="5" max="26" width="8.63"/>
  </cols>
  <sheetData>
    <row r="1" ht="30.0" customHeight="1">
      <c r="A1" s="22" t="s">
        <v>167</v>
      </c>
    </row>
    <row r="2" ht="14.25" customHeight="1">
      <c r="A2" s="35"/>
      <c r="B2" s="35"/>
      <c r="C2" s="35"/>
      <c r="D2" s="35"/>
    </row>
    <row r="3" ht="14.25" customHeight="1">
      <c r="A3" s="26" t="s">
        <v>168</v>
      </c>
      <c r="B3" s="26" t="s">
        <v>37</v>
      </c>
      <c r="C3" s="26" t="s">
        <v>169</v>
      </c>
      <c r="D3" s="26" t="s">
        <v>40</v>
      </c>
    </row>
    <row r="4" ht="14.25" customHeight="1">
      <c r="A4" s="19">
        <v>1.0</v>
      </c>
      <c r="B4" s="19" t="s">
        <v>170</v>
      </c>
      <c r="C4" s="28">
        <v>52900.0</v>
      </c>
      <c r="D4" s="28"/>
    </row>
    <row r="5" ht="14.25" customHeight="1">
      <c r="A5" s="19">
        <v>2.0</v>
      </c>
      <c r="B5" s="19" t="s">
        <v>171</v>
      </c>
      <c r="C5" s="28">
        <v>34100.0</v>
      </c>
      <c r="D5" s="28"/>
    </row>
    <row r="6" ht="14.25" customHeight="1">
      <c r="A6" s="19">
        <v>3.0</v>
      </c>
      <c r="B6" s="19" t="s">
        <v>172</v>
      </c>
      <c r="C6" s="28">
        <v>25000.0</v>
      </c>
      <c r="D6" s="28"/>
    </row>
    <row r="7" ht="14.25" customHeight="1">
      <c r="A7" s="19">
        <v>4.0</v>
      </c>
      <c r="B7" s="19" t="s">
        <v>173</v>
      </c>
      <c r="C7" s="28">
        <v>8000.0</v>
      </c>
      <c r="D7" s="28"/>
    </row>
    <row r="8" ht="14.25" customHeight="1">
      <c r="A8" s="19">
        <v>5.0</v>
      </c>
      <c r="B8" s="19" t="s">
        <v>174</v>
      </c>
      <c r="C8" s="28">
        <v>41000.0</v>
      </c>
      <c r="D8" s="28"/>
    </row>
    <row r="9" ht="14.25" customHeight="1">
      <c r="A9" s="19">
        <v>6.0</v>
      </c>
      <c r="B9" s="19" t="s">
        <v>175</v>
      </c>
      <c r="C9" s="28">
        <v>1200.0</v>
      </c>
      <c r="D9" s="28"/>
    </row>
    <row r="10" ht="14.25" customHeight="1">
      <c r="A10" s="19">
        <v>7.0</v>
      </c>
      <c r="B10" s="19" t="s">
        <v>176</v>
      </c>
      <c r="C10" s="28">
        <v>12000.0</v>
      </c>
      <c r="D10" s="28"/>
    </row>
    <row r="11" ht="14.25" customHeight="1">
      <c r="A11" s="19">
        <v>8.0</v>
      </c>
      <c r="B11" s="19" t="s">
        <v>177</v>
      </c>
      <c r="C11" s="28">
        <v>1500.0</v>
      </c>
      <c r="D11" s="28"/>
    </row>
    <row r="12" ht="14.25" customHeight="1">
      <c r="A12" s="19">
        <v>9.0</v>
      </c>
      <c r="B12" s="19" t="s">
        <v>178</v>
      </c>
      <c r="C12" s="28">
        <v>2000.0</v>
      </c>
      <c r="D12" s="28"/>
    </row>
    <row r="13" ht="14.25" customHeight="1">
      <c r="A13" s="19">
        <v>10.0</v>
      </c>
      <c r="B13" s="19" t="s">
        <v>179</v>
      </c>
      <c r="C13" s="28">
        <v>900.0</v>
      </c>
      <c r="D13" s="28"/>
    </row>
    <row r="14" ht="14.25" customHeight="1">
      <c r="A14" s="19">
        <v>11.0</v>
      </c>
      <c r="B14" s="19" t="s">
        <v>180</v>
      </c>
      <c r="C14" s="28">
        <v>3500.0</v>
      </c>
      <c r="D14" s="28"/>
    </row>
    <row r="15" ht="14.25" customHeight="1">
      <c r="A15" s="19">
        <v>12.0</v>
      </c>
      <c r="B15" s="19" t="s">
        <v>181</v>
      </c>
      <c r="C15" s="28">
        <v>4800.0</v>
      </c>
      <c r="D15" s="28"/>
    </row>
    <row r="16" ht="14.25" customHeight="1">
      <c r="A16" s="19">
        <v>13.0</v>
      </c>
      <c r="B16" s="19" t="s">
        <v>182</v>
      </c>
      <c r="C16" s="28">
        <v>3000.0</v>
      </c>
      <c r="D16" s="28"/>
    </row>
    <row r="17" ht="14.25" customHeight="1">
      <c r="A17" s="19">
        <v>14.0</v>
      </c>
      <c r="B17" s="19" t="s">
        <v>183</v>
      </c>
      <c r="C17" s="28">
        <v>4000.0</v>
      </c>
      <c r="D17" s="28"/>
    </row>
    <row r="18" ht="14.25" customHeight="1">
      <c r="A18" s="19">
        <v>15.0</v>
      </c>
      <c r="B18" s="19" t="s">
        <v>184</v>
      </c>
      <c r="C18" s="28">
        <v>1100.0</v>
      </c>
      <c r="D18" s="28"/>
    </row>
    <row r="19" ht="14.25" customHeight="1">
      <c r="A19" s="19">
        <v>16.0</v>
      </c>
      <c r="B19" s="19" t="s">
        <v>185</v>
      </c>
      <c r="C19" s="28">
        <v>1600.0</v>
      </c>
      <c r="D19" s="28"/>
    </row>
    <row r="20" ht="14.25" customHeight="1">
      <c r="A20" s="19">
        <v>17.0</v>
      </c>
      <c r="B20" s="19" t="s">
        <v>186</v>
      </c>
      <c r="C20" s="28">
        <v>400.0</v>
      </c>
      <c r="D20" s="28"/>
    </row>
    <row r="21" ht="14.25" customHeight="1">
      <c r="A21" s="19">
        <v>18.0</v>
      </c>
      <c r="B21" s="19" t="s">
        <v>187</v>
      </c>
      <c r="C21" s="28">
        <v>1300.0</v>
      </c>
      <c r="D21" s="28"/>
    </row>
    <row r="22" ht="14.25" customHeight="1">
      <c r="A22" s="19">
        <v>19.0</v>
      </c>
      <c r="B22" s="19" t="s">
        <v>188</v>
      </c>
      <c r="C22" s="28">
        <v>10000.0</v>
      </c>
      <c r="D22" s="28"/>
    </row>
    <row r="23" ht="14.25" customHeight="1">
      <c r="A23" s="19">
        <v>20.0</v>
      </c>
      <c r="B23" s="19" t="s">
        <v>189</v>
      </c>
      <c r="C23" s="28"/>
      <c r="D23" s="28">
        <v>100000.0</v>
      </c>
    </row>
    <row r="24" ht="14.25" customHeight="1">
      <c r="A24" s="19">
        <v>21.0</v>
      </c>
      <c r="B24" s="19" t="s">
        <v>190</v>
      </c>
      <c r="C24" s="28"/>
      <c r="D24" s="28">
        <v>15000.0</v>
      </c>
    </row>
    <row r="25" ht="14.25" customHeight="1">
      <c r="A25" s="19">
        <v>22.0</v>
      </c>
      <c r="B25" s="19" t="s">
        <v>191</v>
      </c>
      <c r="C25" s="28"/>
      <c r="D25" s="28">
        <v>71500.0</v>
      </c>
    </row>
    <row r="26" ht="14.25" customHeight="1">
      <c r="A26" s="19">
        <v>23.0</v>
      </c>
      <c r="B26" s="19" t="s">
        <v>192</v>
      </c>
      <c r="C26" s="28"/>
      <c r="D26" s="28">
        <v>19000.0</v>
      </c>
    </row>
    <row r="27" ht="14.25" customHeight="1">
      <c r="A27" s="19">
        <v>24.0</v>
      </c>
      <c r="B27" s="19" t="s">
        <v>193</v>
      </c>
      <c r="C27" s="28"/>
      <c r="D27" s="28">
        <v>1000.0</v>
      </c>
    </row>
    <row r="28" ht="14.25" customHeight="1">
      <c r="A28" s="19">
        <v>25.0</v>
      </c>
      <c r="B28" s="19" t="s">
        <v>194</v>
      </c>
      <c r="C28" s="19"/>
      <c r="D28" s="28">
        <v>1800.0</v>
      </c>
    </row>
    <row r="29" ht="14.25" customHeight="1">
      <c r="A29" s="19"/>
      <c r="B29" s="19"/>
      <c r="C29" s="29">
        <f>SUM(C4:C27)</f>
        <v>208300</v>
      </c>
      <c r="D29" s="29">
        <f>SUM(D23:D28)</f>
        <v>208300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2" width="15.5"/>
    <col customWidth="1" min="3" max="3" width="14.13"/>
    <col customWidth="1" min="4" max="4" width="39.75"/>
    <col customWidth="1" min="5" max="5" width="18.5"/>
    <col customWidth="1" min="6" max="6" width="17.25"/>
    <col customWidth="1" min="7" max="26" width="8.63"/>
  </cols>
  <sheetData>
    <row r="1" ht="14.25" customHeight="1">
      <c r="A1" s="22" t="s">
        <v>195</v>
      </c>
    </row>
    <row r="2" ht="14.25" customHeight="1">
      <c r="A2" s="23" t="s">
        <v>103</v>
      </c>
      <c r="B2" s="23"/>
      <c r="C2" s="23"/>
      <c r="D2" s="23"/>
      <c r="E2" s="23"/>
      <c r="F2" s="25" t="s">
        <v>105</v>
      </c>
    </row>
    <row r="3" ht="14.25" customHeight="1">
      <c r="A3" s="26" t="s">
        <v>196</v>
      </c>
      <c r="B3" s="26" t="s">
        <v>107</v>
      </c>
      <c r="C3" s="26" t="s">
        <v>107</v>
      </c>
      <c r="D3" s="26" t="s">
        <v>196</v>
      </c>
      <c r="E3" s="26" t="s">
        <v>107</v>
      </c>
      <c r="F3" s="26" t="s">
        <v>107</v>
      </c>
    </row>
    <row r="4" ht="14.25" customHeight="1">
      <c r="A4" s="19" t="s">
        <v>197</v>
      </c>
      <c r="B4" s="28"/>
      <c r="C4" s="28" t="s">
        <v>198</v>
      </c>
      <c r="D4" s="19" t="s">
        <v>199</v>
      </c>
      <c r="E4" s="28">
        <v>71500.0</v>
      </c>
      <c r="F4" s="28"/>
    </row>
    <row r="5" ht="14.25" customHeight="1">
      <c r="A5" s="19" t="s">
        <v>200</v>
      </c>
      <c r="B5" s="28">
        <v>41000.0</v>
      </c>
      <c r="C5" s="28"/>
      <c r="D5" s="19" t="s">
        <v>201</v>
      </c>
      <c r="E5" s="36">
        <v>2000.0</v>
      </c>
      <c r="F5" s="28">
        <v>69500.0</v>
      </c>
    </row>
    <row r="6" ht="14.25" customHeight="1">
      <c r="A6" s="19" t="s">
        <v>202</v>
      </c>
      <c r="B6" s="36">
        <v>1000.0</v>
      </c>
      <c r="C6" s="28">
        <v>40000.0</v>
      </c>
      <c r="D6" s="19" t="s">
        <v>203</v>
      </c>
      <c r="E6" s="37"/>
      <c r="F6" s="28">
        <v>24000.0</v>
      </c>
    </row>
    <row r="7" ht="14.25" customHeight="1">
      <c r="A7" s="19" t="s">
        <v>204</v>
      </c>
      <c r="B7" s="37"/>
      <c r="C7" s="28"/>
      <c r="D7" s="19"/>
      <c r="E7" s="28"/>
      <c r="F7" s="28"/>
    </row>
    <row r="8" ht="14.25" customHeight="1">
      <c r="A8" s="19" t="s">
        <v>205</v>
      </c>
      <c r="B8" s="28">
        <v>1200.0</v>
      </c>
      <c r="C8" s="28"/>
      <c r="D8" s="19"/>
      <c r="E8" s="28"/>
      <c r="F8" s="28"/>
    </row>
    <row r="9" ht="14.25" customHeight="1">
      <c r="A9" s="19" t="s">
        <v>206</v>
      </c>
      <c r="B9" s="28">
        <v>4800.0</v>
      </c>
      <c r="C9" s="28"/>
      <c r="D9" s="19"/>
      <c r="E9" s="28"/>
      <c r="F9" s="28"/>
    </row>
    <row r="10" ht="14.25" customHeight="1">
      <c r="A10" s="19" t="s">
        <v>207</v>
      </c>
      <c r="B10" s="36">
        <v>1500.0</v>
      </c>
      <c r="C10" s="28">
        <v>7500.0</v>
      </c>
      <c r="D10" s="19"/>
      <c r="E10" s="28"/>
      <c r="F10" s="28"/>
    </row>
    <row r="11" ht="14.25" customHeight="1">
      <c r="A11" s="19" t="s">
        <v>208</v>
      </c>
      <c r="B11" s="37"/>
      <c r="C11" s="29">
        <f>93500-47500</f>
        <v>46000</v>
      </c>
      <c r="D11" s="19"/>
      <c r="E11" s="28"/>
      <c r="F11" s="28"/>
    </row>
    <row r="12" ht="14.25" customHeight="1">
      <c r="A12" s="19"/>
      <c r="B12" s="28"/>
      <c r="C12" s="29">
        <v>93500.0</v>
      </c>
      <c r="D12" s="31"/>
      <c r="E12" s="29"/>
      <c r="F12" s="29">
        <f>SUM(F5:F6)</f>
        <v>93500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17.63"/>
    <col customWidth="1" min="3" max="3" width="18.88"/>
    <col customWidth="1" min="4" max="4" width="39.0"/>
    <col customWidth="1" min="5" max="5" width="20.38"/>
    <col customWidth="1" min="6" max="6" width="18.75"/>
    <col customWidth="1" min="7" max="7" width="17.88"/>
    <col customWidth="1" min="8" max="8" width="8.88"/>
    <col customWidth="1" min="9" max="26" width="8.63"/>
  </cols>
  <sheetData>
    <row r="1" ht="14.25" customHeight="1">
      <c r="A1" s="22" t="s">
        <v>195</v>
      </c>
    </row>
    <row r="2" ht="14.25" customHeight="1">
      <c r="A2" s="23" t="s">
        <v>103</v>
      </c>
      <c r="B2" s="23"/>
      <c r="C2" s="23"/>
      <c r="D2" s="23"/>
      <c r="E2" s="23"/>
      <c r="F2" s="25" t="s">
        <v>105</v>
      </c>
    </row>
    <row r="3" ht="14.25" customHeight="1">
      <c r="A3" s="26" t="s">
        <v>196</v>
      </c>
      <c r="B3" s="26" t="s">
        <v>107</v>
      </c>
      <c r="C3" s="26" t="s">
        <v>107</v>
      </c>
      <c r="D3" s="26" t="s">
        <v>196</v>
      </c>
      <c r="E3" s="26" t="s">
        <v>107</v>
      </c>
      <c r="F3" s="26" t="s">
        <v>107</v>
      </c>
    </row>
    <row r="4" ht="14.25" customHeight="1">
      <c r="A4" s="19" t="s">
        <v>209</v>
      </c>
      <c r="B4" s="28"/>
      <c r="C4" s="28">
        <v>900.0</v>
      </c>
      <c r="D4" s="19" t="s">
        <v>210</v>
      </c>
      <c r="E4" s="28"/>
      <c r="F4" s="28">
        <v>46000.0</v>
      </c>
    </row>
    <row r="5" ht="14.25" customHeight="1">
      <c r="A5" s="19" t="s">
        <v>211</v>
      </c>
      <c r="B5" s="19"/>
      <c r="C5" s="28">
        <v>3000.0</v>
      </c>
      <c r="D5" s="19" t="s">
        <v>212</v>
      </c>
      <c r="E5" s="28"/>
      <c r="F5" s="28">
        <v>1800.0</v>
      </c>
    </row>
    <row r="6" ht="14.25" customHeight="1">
      <c r="A6" s="19" t="s">
        <v>213</v>
      </c>
      <c r="B6" s="19"/>
      <c r="C6" s="28">
        <v>4000.0</v>
      </c>
      <c r="D6" s="19"/>
      <c r="E6" s="28"/>
      <c r="F6" s="28"/>
    </row>
    <row r="7" ht="14.25" customHeight="1">
      <c r="A7" s="19" t="s">
        <v>214</v>
      </c>
      <c r="B7" s="19"/>
      <c r="C7" s="28">
        <v>1100.0</v>
      </c>
      <c r="D7" s="19"/>
      <c r="E7" s="28"/>
      <c r="F7" s="28"/>
    </row>
    <row r="8" ht="14.25" customHeight="1">
      <c r="A8" s="19" t="s">
        <v>215</v>
      </c>
      <c r="B8" s="19"/>
      <c r="C8" s="28">
        <v>1600.0</v>
      </c>
      <c r="D8" s="19"/>
      <c r="E8" s="28"/>
      <c r="F8" s="28"/>
    </row>
    <row r="9" ht="14.25" customHeight="1">
      <c r="A9" s="19" t="s">
        <v>216</v>
      </c>
      <c r="B9" s="19"/>
      <c r="C9" s="28">
        <v>400.0</v>
      </c>
      <c r="D9" s="19"/>
      <c r="E9" s="28"/>
      <c r="F9" s="28"/>
    </row>
    <row r="10" ht="14.25" customHeight="1">
      <c r="A10" s="19" t="s">
        <v>217</v>
      </c>
      <c r="B10" s="19"/>
      <c r="C10" s="28">
        <v>1300.0</v>
      </c>
      <c r="D10" s="19"/>
      <c r="E10" s="28"/>
      <c r="F10" s="28"/>
    </row>
    <row r="11" ht="14.25" customHeight="1">
      <c r="A11" s="19" t="s">
        <v>218</v>
      </c>
      <c r="B11" s="28">
        <v>10000.0</v>
      </c>
      <c r="C11" s="19"/>
      <c r="D11" s="19"/>
      <c r="E11" s="28"/>
      <c r="F11" s="28"/>
    </row>
    <row r="12" ht="14.25" customHeight="1">
      <c r="A12" s="19" t="s">
        <v>219</v>
      </c>
      <c r="B12" s="36">
        <v>1500.0</v>
      </c>
      <c r="C12" s="28">
        <v>11500.0</v>
      </c>
      <c r="D12" s="19"/>
      <c r="E12" s="19"/>
      <c r="F12" s="19"/>
    </row>
    <row r="13" ht="14.25" customHeight="1">
      <c r="A13" s="19" t="s">
        <v>220</v>
      </c>
      <c r="B13" s="38"/>
      <c r="C13" s="28">
        <v>3000.0</v>
      </c>
      <c r="D13" s="19"/>
      <c r="E13" s="19"/>
      <c r="F13" s="19"/>
    </row>
    <row r="14" ht="14.25" customHeight="1">
      <c r="A14" s="19" t="s">
        <v>221</v>
      </c>
      <c r="B14" s="19"/>
      <c r="C14" s="29">
        <f>47800-26800</f>
        <v>21000</v>
      </c>
      <c r="D14" s="19"/>
      <c r="E14" s="19"/>
      <c r="F14" s="19"/>
    </row>
    <row r="15" ht="14.25" customHeight="1">
      <c r="A15" s="19"/>
      <c r="B15" s="19"/>
      <c r="C15" s="19"/>
      <c r="D15" s="31"/>
      <c r="E15" s="31"/>
      <c r="F15" s="31"/>
    </row>
    <row r="16" ht="14.25" customHeight="1">
      <c r="A16" s="19"/>
      <c r="B16" s="19"/>
      <c r="C16" s="31"/>
      <c r="D16" s="31"/>
      <c r="E16" s="31"/>
      <c r="F16" s="31"/>
    </row>
    <row r="17" ht="14.25" customHeight="1">
      <c r="A17" s="19"/>
      <c r="B17" s="19"/>
      <c r="C17" s="29">
        <f>SUM(C4:C14)</f>
        <v>47800</v>
      </c>
      <c r="D17" s="31"/>
      <c r="E17" s="31"/>
      <c r="F17" s="29">
        <f>SUM(F4:F15)</f>
        <v>47800</v>
      </c>
    </row>
    <row r="18" ht="14.25" customHeight="1"/>
    <row r="19" ht="14.25" customHeight="1">
      <c r="G19" s="26" t="s">
        <v>222</v>
      </c>
      <c r="H19" s="19"/>
    </row>
    <row r="20" ht="14.25" customHeight="1">
      <c r="G20" s="19" t="s">
        <v>223</v>
      </c>
      <c r="H20" s="19">
        <v>25000.0</v>
      </c>
    </row>
    <row r="21" ht="14.25" customHeight="1">
      <c r="G21" s="39" t="s">
        <v>224</v>
      </c>
      <c r="H21" s="19">
        <v>3000.0</v>
      </c>
    </row>
    <row r="22" ht="14.25" customHeight="1">
      <c r="G22" s="19"/>
      <c r="H22" s="19">
        <v>22000.0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75"/>
    <col customWidth="1" min="2" max="2" width="21.75"/>
    <col customWidth="1" min="3" max="3" width="22.25"/>
    <col customWidth="1" min="4" max="4" width="37.0"/>
    <col customWidth="1" min="5" max="5" width="19.5"/>
    <col customWidth="1" min="6" max="6" width="19.75"/>
    <col customWidth="1" min="7" max="26" width="8.63"/>
  </cols>
  <sheetData>
    <row r="1" ht="14.25" customHeight="1">
      <c r="A1" s="22" t="s">
        <v>225</v>
      </c>
    </row>
    <row r="2" ht="14.25" customHeight="1">
      <c r="A2" s="23" t="s">
        <v>103</v>
      </c>
      <c r="B2" s="23"/>
      <c r="C2" s="23"/>
      <c r="D2" s="23"/>
      <c r="E2" s="23"/>
      <c r="F2" s="25" t="s">
        <v>105</v>
      </c>
    </row>
    <row r="3" ht="14.25" customHeight="1">
      <c r="A3" s="26" t="s">
        <v>226</v>
      </c>
      <c r="B3" s="26" t="s">
        <v>107</v>
      </c>
      <c r="C3" s="26" t="s">
        <v>107</v>
      </c>
      <c r="D3" s="26" t="s">
        <v>227</v>
      </c>
      <c r="E3" s="26" t="s">
        <v>107</v>
      </c>
      <c r="F3" s="26" t="s">
        <v>107</v>
      </c>
    </row>
    <row r="4" ht="14.25" customHeight="1">
      <c r="A4" s="19" t="s">
        <v>228</v>
      </c>
      <c r="B4" s="28">
        <v>100000.0</v>
      </c>
      <c r="C4" s="28"/>
      <c r="D4" s="40" t="s">
        <v>229</v>
      </c>
      <c r="E4" s="28"/>
      <c r="F4" s="28">
        <v>52900.0</v>
      </c>
    </row>
    <row r="5" ht="14.25" customHeight="1">
      <c r="A5" s="19" t="s">
        <v>230</v>
      </c>
      <c r="B5" s="28">
        <v>21000.0</v>
      </c>
      <c r="C5" s="28"/>
      <c r="D5" s="19" t="s">
        <v>231</v>
      </c>
      <c r="E5" s="28"/>
      <c r="F5" s="28">
        <v>34100.0</v>
      </c>
    </row>
    <row r="6" ht="14.25" customHeight="1">
      <c r="A6" s="19"/>
      <c r="B6" s="28">
        <f>B4+B5</f>
        <v>121000</v>
      </c>
      <c r="C6" s="28"/>
      <c r="D6" s="19" t="s">
        <v>223</v>
      </c>
      <c r="E6" s="28">
        <v>25000.0</v>
      </c>
      <c r="F6" s="28"/>
    </row>
    <row r="7" ht="14.25" customHeight="1">
      <c r="A7" s="19" t="s">
        <v>232</v>
      </c>
      <c r="B7" s="28">
        <v>3500.0</v>
      </c>
      <c r="C7" s="28">
        <f>B6-B7</f>
        <v>117500</v>
      </c>
      <c r="D7" s="19" t="s">
        <v>233</v>
      </c>
      <c r="E7" s="28">
        <v>3000.0</v>
      </c>
      <c r="F7" s="28">
        <f>E6-E7</f>
        <v>22000</v>
      </c>
    </row>
    <row r="8" ht="14.25" customHeight="1">
      <c r="A8" s="19" t="s">
        <v>234</v>
      </c>
      <c r="B8" s="28"/>
      <c r="C8" s="28"/>
      <c r="D8" s="19" t="s">
        <v>235</v>
      </c>
      <c r="E8" s="28"/>
      <c r="F8" s="28"/>
    </row>
    <row r="9" ht="14.25" customHeight="1">
      <c r="A9" s="19" t="s">
        <v>236</v>
      </c>
      <c r="B9" s="28"/>
      <c r="C9" s="28"/>
      <c r="D9" s="19" t="s">
        <v>237</v>
      </c>
      <c r="E9" s="28"/>
      <c r="F9" s="28">
        <v>8000.0</v>
      </c>
    </row>
    <row r="10" ht="14.25" customHeight="1">
      <c r="A10" s="19" t="s">
        <v>238</v>
      </c>
      <c r="B10" s="28">
        <v>15000.0</v>
      </c>
      <c r="C10" s="28"/>
      <c r="D10" s="19" t="s">
        <v>239</v>
      </c>
      <c r="E10" s="28"/>
      <c r="F10" s="28"/>
    </row>
    <row r="11" ht="14.25" customHeight="1">
      <c r="A11" s="19" t="s">
        <v>240</v>
      </c>
      <c r="B11" s="28">
        <v>19000.0</v>
      </c>
      <c r="C11" s="28">
        <f>B10+B11</f>
        <v>34000</v>
      </c>
      <c r="D11" s="19" t="s">
        <v>241</v>
      </c>
      <c r="E11" s="28"/>
      <c r="F11" s="28">
        <v>12000.0</v>
      </c>
    </row>
    <row r="12" ht="14.25" customHeight="1">
      <c r="A12" s="19" t="s">
        <v>242</v>
      </c>
      <c r="B12" s="28"/>
      <c r="C12" s="28">
        <v>1500.0</v>
      </c>
      <c r="D12" s="19" t="s">
        <v>243</v>
      </c>
      <c r="E12" s="28"/>
      <c r="F12" s="28">
        <v>24000.0</v>
      </c>
    </row>
    <row r="13" ht="14.25" customHeight="1">
      <c r="A13" s="19"/>
      <c r="B13" s="28"/>
      <c r="C13" s="19"/>
      <c r="D13" s="19"/>
      <c r="E13" s="28"/>
      <c r="F13" s="19"/>
    </row>
    <row r="14" ht="14.25" customHeight="1">
      <c r="A14" s="19"/>
      <c r="B14" s="28"/>
      <c r="C14" s="29">
        <f>SUM(C7:C12)</f>
        <v>153000</v>
      </c>
      <c r="D14" s="19"/>
      <c r="E14" s="28"/>
      <c r="F14" s="29">
        <f>SUM(F4:F12)</f>
        <v>153000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40.5"/>
    <col customWidth="1" min="3" max="3" width="72.88"/>
    <col customWidth="1" min="4" max="26" width="8.63"/>
  </cols>
  <sheetData>
    <row r="1" ht="14.25" customHeight="1">
      <c r="A1" s="41" t="s">
        <v>244</v>
      </c>
      <c r="B1" s="42"/>
      <c r="C1" s="43" t="s">
        <v>245</v>
      </c>
    </row>
    <row r="2" ht="14.25" customHeight="1">
      <c r="A2" s="44" t="s">
        <v>246</v>
      </c>
      <c r="B2" s="45"/>
      <c r="C2" s="46"/>
    </row>
    <row r="3" ht="14.25" customHeight="1">
      <c r="A3" s="47" t="s">
        <v>247</v>
      </c>
      <c r="B3" s="48" t="s">
        <v>248</v>
      </c>
      <c r="C3" s="49"/>
    </row>
    <row r="4" ht="14.25" customHeight="1">
      <c r="A4" s="50" t="s">
        <v>249</v>
      </c>
      <c r="B4" s="51">
        <v>117000.0</v>
      </c>
      <c r="C4" s="49" t="s">
        <v>250</v>
      </c>
    </row>
    <row r="5" ht="14.25" customHeight="1">
      <c r="A5" s="50" t="s">
        <v>251</v>
      </c>
      <c r="B5" s="51">
        <v>35500.0</v>
      </c>
      <c r="C5" s="49" t="s">
        <v>252</v>
      </c>
    </row>
    <row r="6" ht="14.25" customHeight="1">
      <c r="A6" s="50" t="s">
        <v>253</v>
      </c>
      <c r="B6" s="52">
        <f>(B4/B5)</f>
        <v>3.295774648</v>
      </c>
      <c r="C6" s="53" t="s">
        <v>254</v>
      </c>
    </row>
    <row r="7" ht="14.25" customHeight="1">
      <c r="A7" s="54"/>
      <c r="B7" s="55"/>
      <c r="C7" s="54"/>
    </row>
    <row r="8" ht="14.25" customHeight="1">
      <c r="A8" s="47" t="s">
        <v>255</v>
      </c>
      <c r="B8" s="56" t="s">
        <v>256</v>
      </c>
      <c r="C8" s="49"/>
    </row>
    <row r="9" ht="14.25" customHeight="1">
      <c r="A9" s="50" t="s">
        <v>257</v>
      </c>
      <c r="B9" s="51">
        <f>117000-24000</f>
        <v>93000</v>
      </c>
      <c r="C9" s="49" t="s">
        <v>258</v>
      </c>
    </row>
    <row r="10" ht="14.25" customHeight="1">
      <c r="A10" s="50" t="s">
        <v>251</v>
      </c>
      <c r="B10" s="51">
        <v>35500.0</v>
      </c>
      <c r="C10" s="49" t="s">
        <v>259</v>
      </c>
    </row>
    <row r="11" ht="14.25" customHeight="1">
      <c r="A11" s="50" t="s">
        <v>260</v>
      </c>
      <c r="B11" s="52">
        <f>(B9/B10)</f>
        <v>2.61971831</v>
      </c>
      <c r="C11" s="53" t="s">
        <v>261</v>
      </c>
    </row>
    <row r="12" ht="14.25" customHeight="1">
      <c r="A12" s="54"/>
      <c r="B12" s="57"/>
      <c r="C12" s="54"/>
    </row>
    <row r="13" ht="14.25" customHeight="1">
      <c r="A13" s="47" t="s">
        <v>262</v>
      </c>
      <c r="B13" s="58" t="s">
        <v>263</v>
      </c>
      <c r="C13" s="49"/>
    </row>
    <row r="14" ht="14.25" customHeight="1">
      <c r="A14" s="50" t="s">
        <v>264</v>
      </c>
      <c r="B14" s="51">
        <v>52900.0</v>
      </c>
      <c r="C14" s="49" t="s">
        <v>265</v>
      </c>
    </row>
    <row r="15" ht="14.25" customHeight="1">
      <c r="A15" s="50" t="s">
        <v>251</v>
      </c>
      <c r="B15" s="51">
        <v>35500.0</v>
      </c>
      <c r="C15" s="49" t="s">
        <v>266</v>
      </c>
    </row>
    <row r="16" ht="14.25" customHeight="1">
      <c r="A16" s="50" t="s">
        <v>267</v>
      </c>
      <c r="B16" s="52">
        <f>(B14/B15)</f>
        <v>1.490140845</v>
      </c>
      <c r="C16" s="49" t="s">
        <v>268</v>
      </c>
    </row>
    <row r="17" ht="14.25" customHeight="1">
      <c r="A17" s="59"/>
      <c r="B17" s="57"/>
      <c r="C17" s="54"/>
    </row>
    <row r="18" ht="14.25" customHeight="1">
      <c r="A18" s="60" t="s">
        <v>269</v>
      </c>
      <c r="B18" s="58" t="s">
        <v>270</v>
      </c>
      <c r="C18" s="49"/>
    </row>
    <row r="19" ht="14.25" customHeight="1">
      <c r="A19" s="50" t="s">
        <v>271</v>
      </c>
      <c r="B19" s="51">
        <v>36000.0</v>
      </c>
      <c r="C19" s="49" t="s">
        <v>272</v>
      </c>
    </row>
    <row r="20" ht="14.25" customHeight="1">
      <c r="A20" s="50" t="s">
        <v>273</v>
      </c>
      <c r="B20" s="51">
        <v>117500.0</v>
      </c>
      <c r="C20" s="49" t="s">
        <v>274</v>
      </c>
    </row>
    <row r="21" ht="14.25" customHeight="1">
      <c r="A21" s="50" t="s">
        <v>275</v>
      </c>
      <c r="B21" s="61">
        <f>(B19/B20)</f>
        <v>0.3063829787</v>
      </c>
      <c r="C21" s="49" t="s">
        <v>276</v>
      </c>
    </row>
    <row r="22" ht="14.25" customHeight="1">
      <c r="A22" s="54"/>
      <c r="B22" s="55"/>
      <c r="C22" s="54"/>
    </row>
    <row r="23" ht="14.25" customHeight="1">
      <c r="A23" s="47" t="s">
        <v>277</v>
      </c>
      <c r="B23" s="58" t="s">
        <v>278</v>
      </c>
      <c r="C23" s="49" t="s">
        <v>279</v>
      </c>
    </row>
    <row r="24" ht="14.25" customHeight="1">
      <c r="A24" s="50" t="s">
        <v>271</v>
      </c>
      <c r="B24" s="51">
        <v>36000.0</v>
      </c>
      <c r="C24" s="49" t="s">
        <v>280</v>
      </c>
    </row>
    <row r="25" ht="14.25" customHeight="1">
      <c r="A25" s="50" t="s">
        <v>281</v>
      </c>
      <c r="B25" s="51">
        <v>153000.0</v>
      </c>
      <c r="C25" s="49" t="s">
        <v>282</v>
      </c>
    </row>
    <row r="26" ht="14.25" customHeight="1">
      <c r="A26" s="50" t="s">
        <v>283</v>
      </c>
      <c r="B26" s="61">
        <f>(B24/B25)</f>
        <v>0.2352941176</v>
      </c>
      <c r="C26" s="49" t="s">
        <v>284</v>
      </c>
    </row>
    <row r="27" ht="14.25" customHeight="1">
      <c r="A27" s="54"/>
      <c r="B27" s="55"/>
      <c r="C27" s="54"/>
    </row>
    <row r="28" ht="14.25" customHeight="1">
      <c r="A28" s="47" t="s">
        <v>285</v>
      </c>
      <c r="B28" s="58" t="s">
        <v>286</v>
      </c>
      <c r="C28" s="49" t="s">
        <v>287</v>
      </c>
    </row>
    <row r="29" ht="14.25" customHeight="1">
      <c r="A29" s="50" t="s">
        <v>288</v>
      </c>
      <c r="B29" s="51">
        <v>69500.0</v>
      </c>
      <c r="C29" s="49" t="s">
        <v>289</v>
      </c>
    </row>
    <row r="30" ht="14.25" customHeight="1">
      <c r="A30" s="50" t="s">
        <v>281</v>
      </c>
      <c r="B30" s="51">
        <v>153000.0</v>
      </c>
      <c r="C30" s="49" t="s">
        <v>290</v>
      </c>
    </row>
    <row r="31" ht="14.25" customHeight="1">
      <c r="A31" s="50" t="s">
        <v>291</v>
      </c>
      <c r="B31" s="62">
        <f>B29/B30</f>
        <v>0.454248366</v>
      </c>
      <c r="C31" s="49" t="s">
        <v>292</v>
      </c>
    </row>
    <row r="32" ht="14.25" customHeight="1">
      <c r="A32" s="54"/>
      <c r="B32" s="55"/>
      <c r="C32" s="54"/>
    </row>
    <row r="33" ht="14.25" customHeight="1">
      <c r="A33" s="47" t="s">
        <v>293</v>
      </c>
      <c r="B33" s="58" t="s">
        <v>294</v>
      </c>
      <c r="C33" s="49"/>
    </row>
    <row r="34" ht="14.25" customHeight="1">
      <c r="A34" s="50" t="s">
        <v>295</v>
      </c>
      <c r="B34" s="51">
        <v>47500.0</v>
      </c>
      <c r="C34" s="49" t="s">
        <v>296</v>
      </c>
    </row>
    <row r="35" ht="14.25" customHeight="1">
      <c r="A35" s="50" t="s">
        <v>297</v>
      </c>
      <c r="B35" s="51">
        <v>12000.0</v>
      </c>
      <c r="C35" s="49" t="s">
        <v>298</v>
      </c>
    </row>
    <row r="36" ht="14.25" customHeight="1">
      <c r="A36" s="50" t="s">
        <v>299</v>
      </c>
      <c r="B36" s="52">
        <f>B34/B35</f>
        <v>3.958333333</v>
      </c>
      <c r="C36" s="53" t="s">
        <v>300</v>
      </c>
    </row>
    <row r="37" ht="14.25" customHeight="1">
      <c r="A37" s="54"/>
      <c r="B37" s="55"/>
      <c r="C37" s="54"/>
    </row>
    <row r="38" ht="14.25" customHeight="1">
      <c r="A38" s="47" t="s">
        <v>301</v>
      </c>
      <c r="B38" s="58" t="s">
        <v>302</v>
      </c>
      <c r="C38" s="49"/>
    </row>
    <row r="39" ht="14.25" customHeight="1">
      <c r="A39" s="50" t="s">
        <v>303</v>
      </c>
      <c r="B39" s="51">
        <v>69500.0</v>
      </c>
      <c r="C39" s="49" t="s">
        <v>304</v>
      </c>
    </row>
    <row r="40" ht="14.25" customHeight="1">
      <c r="A40" s="50" t="s">
        <v>305</v>
      </c>
      <c r="B40" s="51">
        <f>(B4-B5)</f>
        <v>81500</v>
      </c>
      <c r="C40" s="49" t="s">
        <v>306</v>
      </c>
    </row>
    <row r="41" ht="14.25" customHeight="1">
      <c r="A41" s="63" t="s">
        <v>307</v>
      </c>
      <c r="B41" s="64">
        <f>B39/B40</f>
        <v>0.8527607362</v>
      </c>
      <c r="C41" s="65" t="s">
        <v>308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2026-07-13T03:26:06Z</dcterms:created>
  <dc:creator>jose r</dc:creator>
</cp:coreProperties>
</file>