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"/>
    </mc:Choice>
  </mc:AlternateContent>
  <xr:revisionPtr revIDLastSave="116" documentId="8_{6B8E2886-EF63-4822-BA68-4C74A7AF38A5}" xr6:coauthVersionLast="47" xr6:coauthVersionMax="47" xr10:uidLastSave="{11C6C06C-4B4B-4D1B-9E76-B5246142D2B8}"/>
  <bookViews>
    <workbookView xWindow="-108" yWindow="-108" windowWidth="23256" windowHeight="12456" firstSheet="1" activeTab="7" xr2:uid="{9615DA8C-F803-40D3-9359-8B0C1C8E751F}"/>
  </bookViews>
  <sheets>
    <sheet name="Transaction" sheetId="1" r:id="rId1"/>
    <sheet name="Journal entries" sheetId="3" r:id="rId2"/>
    <sheet name="Ledger" sheetId="5" r:id="rId3"/>
    <sheet name="Trial Balance" sheetId="6" r:id="rId4"/>
    <sheet name="Trading account" sheetId="7" r:id="rId5"/>
    <sheet name="P&amp;L" sheetId="8" r:id="rId6"/>
    <sheet name="Balance sheet" sheetId="9" r:id="rId7"/>
    <sheet name="Ratio analysi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0" l="1"/>
  <c r="B44" i="10"/>
  <c r="B47" i="10" s="1"/>
  <c r="B41" i="10"/>
  <c r="B34" i="10"/>
  <c r="B35" i="10" s="1"/>
  <c r="B28" i="10"/>
  <c r="B30" i="10" s="1"/>
  <c r="B25" i="10"/>
  <c r="B17" i="10"/>
  <c r="B19" i="10" s="1"/>
  <c r="B11" i="10"/>
  <c r="B10" i="10"/>
  <c r="B13" i="10" s="1"/>
  <c r="B7" i="10"/>
  <c r="F15" i="9"/>
  <c r="F12" i="9"/>
  <c r="C12" i="9"/>
  <c r="C10" i="9"/>
  <c r="F7" i="9"/>
  <c r="F17" i="9" s="1"/>
  <c r="C7" i="9"/>
  <c r="C17" i="9" s="1"/>
  <c r="F13" i="8"/>
  <c r="C7" i="8"/>
  <c r="C5" i="8"/>
  <c r="C13" i="8" s="1"/>
  <c r="C6" i="7"/>
  <c r="C12" i="7" s="1"/>
  <c r="F5" i="7"/>
  <c r="F12" i="7" s="1"/>
  <c r="D27" i="6"/>
  <c r="C27" i="6"/>
  <c r="D214" i="5"/>
  <c r="H213" i="5"/>
  <c r="D213" i="5"/>
  <c r="D205" i="5"/>
  <c r="H202" i="5" s="1"/>
  <c r="D204" i="5"/>
  <c r="H204" i="5" s="1"/>
  <c r="H197" i="5"/>
  <c r="H196" i="5"/>
  <c r="D196" i="5"/>
  <c r="D194" i="5"/>
  <c r="H189" i="5"/>
  <c r="H188" i="5"/>
  <c r="D188" i="5" s="1"/>
  <c r="D186" i="5"/>
  <c r="D181" i="5"/>
  <c r="D180" i="5"/>
  <c r="H180" i="5" s="1"/>
  <c r="H178" i="5"/>
  <c r="D173" i="5"/>
  <c r="H172" i="5"/>
  <c r="D172" i="5"/>
  <c r="H170" i="5"/>
  <c r="D156" i="5"/>
  <c r="H155" i="5"/>
  <c r="D155" i="5"/>
  <c r="H153" i="5"/>
  <c r="D131" i="5"/>
  <c r="H82" i="5"/>
  <c r="D82" i="5"/>
  <c r="H72" i="5"/>
  <c r="H61" i="5"/>
  <c r="H60" i="5"/>
  <c r="D60" i="5"/>
  <c r="D50" i="5"/>
  <c r="H39" i="5"/>
  <c r="D39" i="5"/>
  <c r="H29" i="5"/>
  <c r="D29" i="5"/>
</calcChain>
</file>

<file path=xl/sharedStrings.xml><?xml version="1.0" encoding="utf-8"?>
<sst xmlns="http://schemas.openxmlformats.org/spreadsheetml/2006/main" count="728" uniqueCount="325">
  <si>
    <t>Sunrise Traders – (FY 2025–26)</t>
  </si>
  <si>
    <t>Started business with cash ₹6,00,000</t>
  </si>
  <si>
    <t>Opened a bank account and deposited ₹2,50,000</t>
  </si>
  <si>
    <t>Purchased goods for cash ₹1,00,000</t>
  </si>
  <si>
    <t>Purchased goods from Arun Traders on credit ₹1,50,000</t>
  </si>
  <si>
    <t>Sold goods for cash ₹80,000</t>
  </si>
  <si>
    <t>Sold goods to Bala Stores on credit ₹1,20,000</t>
  </si>
  <si>
    <t>Paid shop rent ₹12,000</t>
  </si>
  <si>
    <t>Paid wages ₹8,000</t>
  </si>
  <si>
    <t>Purchased office equipment ₹50,000 by cheque</t>
  </si>
  <si>
    <t>Received ₹70,000 from Bala Stores</t>
  </si>
  <si>
    <t>Returned goods to Arun Traders ₹15,000</t>
  </si>
  <si>
    <t>Bala Stores returned goods worth ₹8,000</t>
  </si>
  <si>
    <t>Paid Arun Traders ₹1,20,000 by cheque</t>
  </si>
  <si>
    <t>Purchased goods for cash ₹60,000</t>
  </si>
  <si>
    <t>Sold goods for cash ₹90,000</t>
  </si>
  <si>
    <t>Paid salaries ₹18,000</t>
  </si>
  <si>
    <t>Received commission ₹10,000 in cash</t>
  </si>
  <si>
    <t>Purchased furniture ₹40,000 for office use</t>
  </si>
  <si>
    <t>Paid carriage inward ₹5,000</t>
  </si>
  <si>
    <t>Purchased goods from Devi Suppliers on credit ₹90,000</t>
  </si>
  <si>
    <t>Sold goods to Chitra Stores on credit ₹1,40,000</t>
  </si>
  <si>
    <t>Received ₹1,00,000 from Chitra Stores</t>
  </si>
  <si>
    <t>Paid insurance premium ₹12,000</t>
  </si>
  <si>
    <t>Paid advertisement expenses ₹10,000</t>
  </si>
  <si>
    <t>Received discount from Arun Traders ₹3,000</t>
  </si>
  <si>
    <t>Withdrew cash for personal use ₹25,000</t>
  </si>
  <si>
    <t>Received interest on bank deposit ₹6,000</t>
  </si>
  <si>
    <t>Paid Devi Suppliers ₹80,000</t>
  </si>
  <si>
    <t>Sold goods for cash ₹1,10,000</t>
  </si>
  <si>
    <t>Adjustments (as on 31 March 2026)</t>
  </si>
  <si>
    <t>Closing Stock = ₹1,20,000</t>
  </si>
  <si>
    <t>Outstanding Salaries = ₹4,000</t>
  </si>
  <si>
    <t>Outstanding Rent = ₹3,000</t>
  </si>
  <si>
    <t>Prepaid Insurance = ₹2,000</t>
  </si>
  <si>
    <t>Accrued Interest Income = ₹1,000</t>
  </si>
  <si>
    <t>In the books of Sunrise traders Journal entries for the year ended 2026</t>
  </si>
  <si>
    <t xml:space="preserve">Date </t>
  </si>
  <si>
    <t>Particulars</t>
  </si>
  <si>
    <t>Lf</t>
  </si>
  <si>
    <t>Debit ₹</t>
  </si>
  <si>
    <t>Credit ₹</t>
  </si>
  <si>
    <t>1.4.2025</t>
  </si>
  <si>
    <t xml:space="preserve">Cash a/c </t>
  </si>
  <si>
    <t>Dr</t>
  </si>
  <si>
    <t>To capital a/c</t>
  </si>
  <si>
    <t>(Being started business with cash)</t>
  </si>
  <si>
    <t>3.4.2025</t>
  </si>
  <si>
    <t>Bank a/c</t>
  </si>
  <si>
    <t>To cash a/c</t>
  </si>
  <si>
    <t>(Being cash deposited into bank)</t>
  </si>
  <si>
    <t>5.4.2025</t>
  </si>
  <si>
    <t>Purchase a/c</t>
  </si>
  <si>
    <t>(Being purchased goods for cash)</t>
  </si>
  <si>
    <t>8.4.2025</t>
  </si>
  <si>
    <t>To Arun traders a/c</t>
  </si>
  <si>
    <t>(Being purchased goods from Arun traders)</t>
  </si>
  <si>
    <t>12.4.2025</t>
  </si>
  <si>
    <t>To sales a/c</t>
  </si>
  <si>
    <t>(Being sold goods for cash)</t>
  </si>
  <si>
    <t>15.4.2025</t>
  </si>
  <si>
    <t>Bala stores a/c</t>
  </si>
  <si>
    <t>(Being sold goods to Bala stores)</t>
  </si>
  <si>
    <t>20.4.2025</t>
  </si>
  <si>
    <t>Rent a/c</t>
  </si>
  <si>
    <t>(Being paid office rent)</t>
  </si>
  <si>
    <t>22.4.2025</t>
  </si>
  <si>
    <t>Wages a/c</t>
  </si>
  <si>
    <t>(Being paid wages)</t>
  </si>
  <si>
    <t>25.4.2025</t>
  </si>
  <si>
    <t>Office equipment a/c</t>
  </si>
  <si>
    <t>To bank a/c</t>
  </si>
  <si>
    <t>(Being Purchased office equipment bu cheque)</t>
  </si>
  <si>
    <t>30.4.2025</t>
  </si>
  <si>
    <t>To Bala stores a/c</t>
  </si>
  <si>
    <t>(Being received cash from Bala stores)</t>
  </si>
  <si>
    <t>5.5.2025</t>
  </si>
  <si>
    <t>Arun traders a/c</t>
  </si>
  <si>
    <t>To purchase return a/c</t>
  </si>
  <si>
    <t>(Being returned goods to Arun traders)</t>
  </si>
  <si>
    <t>10.5.2025</t>
  </si>
  <si>
    <t>Sales return a/c</t>
  </si>
  <si>
    <t>(Being Bala stores returned goods to us)</t>
  </si>
  <si>
    <t>15.5.2025</t>
  </si>
  <si>
    <t>(Being paid to Arun traders by cheque)</t>
  </si>
  <si>
    <t>1.6.2025</t>
  </si>
  <si>
    <t>15.6.2025</t>
  </si>
  <si>
    <t>5.7.2025</t>
  </si>
  <si>
    <t>Salary a/c</t>
  </si>
  <si>
    <t>(Being paid salary)</t>
  </si>
  <si>
    <t>20.7.2025</t>
  </si>
  <si>
    <t>To commission received a/c</t>
  </si>
  <si>
    <t>(Being received commission for cash)</t>
  </si>
  <si>
    <t>1.8.2025</t>
  </si>
  <si>
    <t>Furniture a/c</t>
  </si>
  <si>
    <t>(Being purchased furniture for office use)</t>
  </si>
  <si>
    <t>10.8.2025</t>
  </si>
  <si>
    <t>Carriage inward a/c</t>
  </si>
  <si>
    <t>(Being paid carriage inward)</t>
  </si>
  <si>
    <t>1.9.2025</t>
  </si>
  <si>
    <t>To Devi suppliers a/c</t>
  </si>
  <si>
    <t>(Being purchased goods from Devi suppilers)</t>
  </si>
  <si>
    <t>15.9.2025</t>
  </si>
  <si>
    <t>Chitra stores a/c</t>
  </si>
  <si>
    <t>(Being sold goods to Chitra stores)</t>
  </si>
  <si>
    <t>1.10.2025</t>
  </si>
  <si>
    <t>To Chitra stores a/c</t>
  </si>
  <si>
    <t>(Being received from Chitra stores)</t>
  </si>
  <si>
    <t>20.10.2025</t>
  </si>
  <si>
    <t>Insurance premium a/c</t>
  </si>
  <si>
    <t>(Being paid insurance premium)</t>
  </si>
  <si>
    <t>5.11.2025</t>
  </si>
  <si>
    <t>Advertisement expenses a/c</t>
  </si>
  <si>
    <t>(Being paid advertisement expenses)</t>
  </si>
  <si>
    <t>1.12.2025</t>
  </si>
  <si>
    <t>To discount received a/c</t>
  </si>
  <si>
    <t>(Being discount received from Arun traders)</t>
  </si>
  <si>
    <t>20.12.2025</t>
  </si>
  <si>
    <t xml:space="preserve">Drawings a/c </t>
  </si>
  <si>
    <t>(Being withdrew cash for personal use)</t>
  </si>
  <si>
    <t>10.1.2026</t>
  </si>
  <si>
    <t>To interest received a/c</t>
  </si>
  <si>
    <t>(Being received interest on bank)</t>
  </si>
  <si>
    <t>1.2.2026</t>
  </si>
  <si>
    <t>10.3.2026</t>
  </si>
  <si>
    <t>Devi suppliers a/c</t>
  </si>
  <si>
    <t>(Being paid Devi supplirers)</t>
  </si>
  <si>
    <t>25.3.2026</t>
  </si>
  <si>
    <t>(sold goods for cash)</t>
  </si>
  <si>
    <t>Date</t>
  </si>
  <si>
    <t>In the Books of Sun Traders. Preparation of Ledger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</si>
  <si>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</si>
  <si>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</si>
  <si>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</si>
  <si>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</si>
  <si>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</si>
  <si>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</si>
  <si>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</si>
  <si>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Balance B/d</t>
  </si>
  <si>
    <t>Cash A/c</t>
  </si>
  <si>
    <t>To Capital A/c</t>
  </si>
  <si>
    <t>By Bank A/c</t>
  </si>
  <si>
    <t>To Sales A/c</t>
  </si>
  <si>
    <t>By Purchase A/c</t>
  </si>
  <si>
    <t>To Balan Stores A/c</t>
  </si>
  <si>
    <t>By Rent A/c</t>
  </si>
  <si>
    <t>By Wages A/c</t>
  </si>
  <si>
    <t>To Commission received A/c</t>
  </si>
  <si>
    <t>To Chitra stores A/c</t>
  </si>
  <si>
    <t>By Salaries A/c</t>
  </si>
  <si>
    <t>To Discount received A/c</t>
  </si>
  <si>
    <t>By Furniture A/c</t>
  </si>
  <si>
    <t>By Carriage inward A/c</t>
  </si>
  <si>
    <t>By Inscurance premium A/c</t>
  </si>
  <si>
    <t>By Advertising expenses A/c</t>
  </si>
  <si>
    <t>By Drawings A/c</t>
  </si>
  <si>
    <t>By Davi suppliers A/c</t>
  </si>
  <si>
    <t>By Balance C/d</t>
  </si>
  <si>
    <t>To Balance B/d</t>
  </si>
  <si>
    <t>Bank A/c</t>
  </si>
  <si>
    <t>To Cash A/c</t>
  </si>
  <si>
    <t>By Office equipment A/c</t>
  </si>
  <si>
    <t>To Intrest received A/c</t>
  </si>
  <si>
    <t>By Arun Traders</t>
  </si>
  <si>
    <t>Purchase A/c</t>
  </si>
  <si>
    <t>To Arun Traders A/c</t>
  </si>
  <si>
    <t>To Devi Suppliers A/c</t>
  </si>
  <si>
    <t>Arun Traders A/c</t>
  </si>
  <si>
    <t>To Purchase Returns A/c</t>
  </si>
  <si>
    <t>To Bank A/c</t>
  </si>
  <si>
    <t>By  Balance B/d</t>
  </si>
  <si>
    <t>Sales A/c</t>
  </si>
  <si>
    <t>By Bala Stores A/c</t>
  </si>
  <si>
    <t>By Chitra Stores A/c</t>
  </si>
  <si>
    <t>Bala Stores A/c</t>
  </si>
  <si>
    <t>By Sales Returns A/c</t>
  </si>
  <si>
    <t>Rent A/c</t>
  </si>
  <si>
    <t>Wages A/c</t>
  </si>
  <si>
    <t>Office Equipment A/c</t>
  </si>
  <si>
    <t>Purchase Returns A/c</t>
  </si>
  <si>
    <t>By Arun Traders A/c</t>
  </si>
  <si>
    <t>Sales Returns A/c</t>
  </si>
  <si>
    <t>To Bala Stores A/c</t>
  </si>
  <si>
    <t>Salaries A/c</t>
  </si>
  <si>
    <t>Commission Received A/c</t>
  </si>
  <si>
    <t>Furniture A/c</t>
  </si>
  <si>
    <t>Carriage inward A/c</t>
  </si>
  <si>
    <t>Devi Suppliers A/c</t>
  </si>
  <si>
    <t>Inscurance premium A/c</t>
  </si>
  <si>
    <t>Advertisment Expenses A/c</t>
  </si>
  <si>
    <t>Discount Received A/c</t>
  </si>
  <si>
    <t>Intrest Received A/c</t>
  </si>
  <si>
    <t>Drawings A/c</t>
  </si>
  <si>
    <t>Chitra stores A/c</t>
  </si>
  <si>
    <t>In the Books of Sun Traders. Preparation of Trial Balance for the Year Ended 31st March 2026.</t>
  </si>
  <si>
    <t>S.No</t>
  </si>
  <si>
    <t>Debit₹</t>
  </si>
  <si>
    <t>Credit₹</t>
  </si>
  <si>
    <t>Office equipment A/c</t>
  </si>
  <si>
    <t>Furnitiure A/c</t>
  </si>
  <si>
    <t>Carriage Inward A/c</t>
  </si>
  <si>
    <t>Inscurance Premium A/c</t>
  </si>
  <si>
    <t>Advertisment expenses A/c</t>
  </si>
  <si>
    <t>Devi suppliers A/c</t>
  </si>
  <si>
    <t>Discount received A/c</t>
  </si>
  <si>
    <t>Total</t>
  </si>
  <si>
    <t>In the Books of Sun Traders. Preparation of Trading Account for the Year Ended 31st March 2026.</t>
  </si>
  <si>
    <t>To Opening Stock</t>
  </si>
  <si>
    <t>-</t>
  </si>
  <si>
    <t>By Sales</t>
  </si>
  <si>
    <t xml:space="preserve">To Purchase </t>
  </si>
  <si>
    <t>Less:Sales Returns</t>
  </si>
  <si>
    <t>Less:Purchase Returns</t>
  </si>
  <si>
    <t>By Closing Stock</t>
  </si>
  <si>
    <t>To Direct Expenses:</t>
  </si>
  <si>
    <t>To Wages</t>
  </si>
  <si>
    <t>To Carriage inwards</t>
  </si>
  <si>
    <t>To Gross Profit C/d</t>
  </si>
  <si>
    <t>In the Books of Sun Traders. Preparation of Profit &amp; Loss Account for the Year Ended 31st March 2026.</t>
  </si>
  <si>
    <t>To Rent</t>
  </si>
  <si>
    <t>By Gorss Profit B/d</t>
  </si>
  <si>
    <t>Add:Outstanding Rent</t>
  </si>
  <si>
    <t xml:space="preserve">By Commission Received </t>
  </si>
  <si>
    <t>To Salaries</t>
  </si>
  <si>
    <t xml:space="preserve">By Discount Received </t>
  </si>
  <si>
    <t>Add:Outstanding Salaries</t>
  </si>
  <si>
    <t>By Interest Received</t>
  </si>
  <si>
    <t>To Inscurance Premium</t>
  </si>
  <si>
    <t>By Accured Intrest Income</t>
  </si>
  <si>
    <t>Less:Prepaid Inscurance</t>
  </si>
  <si>
    <t>To Advertising Expenses</t>
  </si>
  <si>
    <t>To Net Profit</t>
  </si>
  <si>
    <t>In the Books of Sun Traders. Preparation of Balance Sheet for the Year Ended 31st March 2026.</t>
  </si>
  <si>
    <t>Liabilities</t>
  </si>
  <si>
    <t>Assets</t>
  </si>
  <si>
    <t>Capital</t>
  </si>
  <si>
    <t>Current Assets:</t>
  </si>
  <si>
    <t>Less:Drawings</t>
  </si>
  <si>
    <t>Cash</t>
  </si>
  <si>
    <t>Add:Net Profit</t>
  </si>
  <si>
    <t>Bank</t>
  </si>
  <si>
    <t>Current Liabilities:</t>
  </si>
  <si>
    <t>Prepaid Insurance</t>
  </si>
  <si>
    <t>Outstanding Salaries</t>
  </si>
  <si>
    <t>Accrued intrest income</t>
  </si>
  <si>
    <t>Outstanding Rent</t>
  </si>
  <si>
    <t>Closing Stock</t>
  </si>
  <si>
    <t>Arun Traders (Creditors)</t>
  </si>
  <si>
    <t>Bala Stores(Debtors)</t>
  </si>
  <si>
    <t>Devi suppliers  (Creditors)</t>
  </si>
  <si>
    <t>Chitra Stores(Debtors)</t>
  </si>
  <si>
    <t>Fixed Assets:</t>
  </si>
  <si>
    <t>Office Equipment</t>
  </si>
  <si>
    <t>Furniture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</si>
  <si>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</si>
  <si>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</si>
  <si>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</si>
  <si>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</si>
  <si>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</si>
  <si>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</si>
  <si>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</si>
  <si>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</si>
  <si>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 xml:space="preserve">₹22.38 </t>
    </r>
    <r>
      <rPr>
        <sz val="11"/>
        <color theme="1"/>
        <rFont val="Aptos Narrow"/>
        <family val="2"/>
        <scheme val="min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</si>
  <si>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</si>
  <si>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</si>
  <si>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</si>
  <si>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</si>
  <si>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</si>
  <si>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</si>
  <si>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1:1.</t>
    </r>
  </si>
  <si>
    <r>
      <t>The firm has</t>
    </r>
    <r>
      <rPr>
        <b/>
        <sz val="11"/>
        <color theme="1"/>
        <rFont val="Aptos Narrow"/>
        <family val="2"/>
        <scheme val="minor"/>
      </rPr>
      <t xml:space="preserve"> ₹18.56</t>
    </r>
    <r>
      <rPr>
        <sz val="11"/>
        <color theme="1"/>
        <rFont val="Aptos Narrow"/>
        <family val="2"/>
        <scheme val="min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</si>
  <si>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</si>
  <si>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</si>
  <si>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</si>
  <si>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</si>
  <si>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</si>
  <si>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</si>
  <si>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0.5:1.</t>
    </r>
  </si>
  <si>
    <r>
      <t>The firm has</t>
    </r>
    <r>
      <rPr>
        <b/>
        <sz val="11"/>
        <color theme="1"/>
        <rFont val="Aptos Narrow"/>
        <family val="2"/>
        <scheme val="minor"/>
      </rPr>
      <t xml:space="preserve"> ₹15.97</t>
    </r>
    <r>
      <rPr>
        <sz val="11"/>
        <color theme="1"/>
        <rFont val="Aptos Narrow"/>
        <family val="2"/>
        <scheme val="min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</si>
  <si>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</si>
  <si>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</si>
  <si>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</si>
  <si>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</si>
  <si>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</si>
  <si>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</si>
  <si>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</si>
  <si>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</si>
  <si>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₹0.0416</t>
    </r>
    <r>
      <rPr>
        <sz val="11"/>
        <color theme="1"/>
        <rFont val="Aptos Narrow"/>
        <family val="2"/>
        <scheme val="min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</si>
  <si>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</si>
  <si>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</si>
  <si>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</si>
  <si>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</si>
  <si>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</si>
  <si>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Narrow"/>
        <family val="2"/>
        <scheme val="minor"/>
      </rPr>
      <t>&lt;50%.</t>
    </r>
  </si>
  <si>
    <r>
      <t xml:space="preserve">The firm has </t>
    </r>
    <r>
      <rPr>
        <b/>
        <sz val="11"/>
        <color theme="1"/>
        <rFont val="Aptos Narrow"/>
        <family val="2"/>
        <scheme val="minor"/>
      </rPr>
      <t>₹0.0397</t>
    </r>
    <r>
      <rPr>
        <sz val="11"/>
        <color theme="1"/>
        <rFont val="Aptos Narrow"/>
        <family val="2"/>
        <scheme val="minor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</si>
  <si>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</si>
  <si>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</si>
  <si>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</si>
  <si>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</si>
  <si>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</si>
  <si>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</si>
  <si>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Narrow"/>
        <family val="2"/>
        <scheme val="min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</si>
  <si>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</si>
  <si>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Narrow"/>
        <family val="2"/>
        <scheme val="minor"/>
      </rPr>
      <t xml:space="preserve"> ₹0.660</t>
    </r>
    <r>
      <rPr>
        <sz val="11"/>
        <color theme="1"/>
        <rFont val="Aptos Narrow"/>
        <family val="2"/>
        <scheme val="minor"/>
      </rPr>
      <t xml:space="preserve"> of net sales for every ₹1 invested in total assets.</t>
    </r>
  </si>
  <si>
    <r>
      <t xml:space="preserve">If Ratio very low </t>
    </r>
    <r>
      <rPr>
        <sz val="11"/>
        <color theme="1"/>
        <rFont val="Aptos Narrow"/>
        <family val="2"/>
      </rPr>
      <t>→ poor Utilization of assets.</t>
    </r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</si>
  <si>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</si>
  <si>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</si>
  <si>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</si>
  <si>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</si>
  <si>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</si>
  <si>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5 - 10</t>
    </r>
    <r>
      <rPr>
        <sz val="11"/>
        <color theme="1"/>
        <rFont val="Aptos Narrow"/>
        <family val="2"/>
        <scheme val="min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</si>
  <si>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</si>
  <si>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Narrow"/>
        <family val="2"/>
        <scheme val="minor"/>
      </rPr>
      <t>4.63</t>
    </r>
    <r>
      <rPr>
        <sz val="11"/>
        <color theme="1"/>
        <rFont val="Aptos Narrow"/>
        <family val="2"/>
        <scheme val="minor"/>
      </rPr>
      <t xml:space="preserve">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</si>
  <si>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</si>
  <si>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</si>
  <si>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</si>
  <si>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</si>
  <si>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</si>
  <si>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</si>
  <si>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Narrow"/>
        <family val="2"/>
        <scheme val="min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</si>
  <si>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</si>
  <si>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Narrow"/>
        <family val="2"/>
        <scheme val="minor"/>
      </rPr>
      <t xml:space="preserve">0.778 </t>
    </r>
    <r>
      <rPr>
        <sz val="11"/>
        <color theme="1"/>
        <rFont val="Aptos Narrow"/>
        <family val="2"/>
        <scheme val="min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</si>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</sst>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2" tint="-0.89999084444715716"/>
      <name val="Times New Roman"/>
      <family val="1"/>
    </font>
    <font>
      <b/>
      <i/>
      <sz val="11"/>
      <color theme="3" tint="9.9978637043366805E-2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2">
    <xf numFmtId="0" fontId="0" fillId="0" borderId="0" xfId="0"/>
    <xf numFmtId="15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4" fontId="0" fillId="0" borderId="0" xfId="1" applyNumberFormat="1" applyFont="1"/>
    <xf numFmtId="0" fontId="4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0" fontId="4" fillId="0" borderId="1" xfId="0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1" fillId="0" borderId="1" xfId="1" applyNumberFormat="1" applyFont="1" applyBorder="1"/>
    <xf numFmtId="164" fontId="5" fillId="0" borderId="1" xfId="1" applyNumberFormat="1" applyFont="1" applyBorder="1"/>
    <xf numFmtId="0" fontId="1" fillId="0" borderId="1" xfId="0" applyFont="1" applyBorder="1"/>
    <xf numFmtId="14" fontId="0" fillId="0" borderId="0" xfId="0" applyNumberFormat="1"/>
    <xf numFmtId="164" fontId="5" fillId="0" borderId="0" xfId="1" applyNumberFormat="1" applyFont="1" applyBorder="1"/>
    <xf numFmtId="14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6" fillId="0" borderId="1" xfId="0" applyFont="1" applyBorder="1"/>
    <xf numFmtId="164" fontId="6" fillId="0" borderId="1" xfId="1" applyNumberFormat="1" applyFont="1" applyBorder="1"/>
    <xf numFmtId="164" fontId="7" fillId="0" borderId="1" xfId="1" applyNumberFormat="1" applyFont="1" applyBorder="1"/>
    <xf numFmtId="0" fontId="4" fillId="0" borderId="0" xfId="0" applyFont="1"/>
    <xf numFmtId="164" fontId="4" fillId="0" borderId="0" xfId="1" applyNumberFormat="1" applyFont="1"/>
    <xf numFmtId="0" fontId="4" fillId="0" borderId="2" xfId="0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0" fontId="0" fillId="0" borderId="4" xfId="0" applyBorder="1"/>
    <xf numFmtId="164" fontId="0" fillId="0" borderId="5" xfId="1" applyNumberFormat="1" applyFont="1" applyBorder="1"/>
    <xf numFmtId="164" fontId="0" fillId="0" borderId="0" xfId="1" applyNumberFormat="1" applyFont="1" applyBorder="1"/>
    <xf numFmtId="0" fontId="0" fillId="0" borderId="5" xfId="0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1" fillId="0" borderId="0" xfId="1" applyNumberFormat="1" applyFont="1" applyBorder="1"/>
    <xf numFmtId="0" fontId="0" fillId="0" borderId="8" xfId="0" applyBorder="1"/>
    <xf numFmtId="164" fontId="0" fillId="0" borderId="9" xfId="1" applyNumberFormat="1" applyFont="1" applyBorder="1"/>
    <xf numFmtId="0" fontId="0" fillId="0" borderId="9" xfId="0" applyBorder="1"/>
    <xf numFmtId="164" fontId="0" fillId="0" borderId="10" xfId="1" applyNumberFormat="1" applyFont="1" applyBorder="1"/>
    <xf numFmtId="164" fontId="4" fillId="0" borderId="11" xfId="1" applyNumberFormat="1" applyFont="1" applyBorder="1" applyAlignment="1">
      <alignment horizontal="center"/>
    </xf>
    <xf numFmtId="164" fontId="0" fillId="0" borderId="12" xfId="1" applyNumberFormat="1" applyFont="1" applyBorder="1"/>
    <xf numFmtId="0" fontId="8" fillId="2" borderId="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0" fillId="2" borderId="9" xfId="0" applyFill="1" applyBorder="1"/>
    <xf numFmtId="0" fontId="1" fillId="3" borderId="13" xfId="0" applyFont="1" applyFill="1" applyBorder="1"/>
    <xf numFmtId="0" fontId="1" fillId="3" borderId="5" xfId="0" applyFont="1" applyFill="1" applyBorder="1"/>
    <xf numFmtId="0" fontId="0" fillId="3" borderId="5" xfId="0" applyFill="1" applyBorder="1"/>
    <xf numFmtId="0" fontId="0" fillId="3" borderId="13" xfId="0" applyFill="1" applyBorder="1" applyAlignment="1">
      <alignment horizontal="right"/>
    </xf>
    <xf numFmtId="164" fontId="0" fillId="3" borderId="5" xfId="1" applyNumberFormat="1" applyFont="1" applyFill="1" applyBorder="1"/>
    <xf numFmtId="0" fontId="0" fillId="3" borderId="5" xfId="0" applyFill="1" applyBorder="1" applyAlignment="1">
      <alignment wrapText="1"/>
    </xf>
    <xf numFmtId="43" fontId="1" fillId="3" borderId="5" xfId="1" applyFont="1" applyFill="1" applyBorder="1"/>
    <xf numFmtId="0" fontId="0" fillId="3" borderId="1" xfId="0" applyFill="1" applyBorder="1"/>
    <xf numFmtId="164" fontId="0" fillId="3" borderId="1" xfId="1" applyNumberFormat="1" applyFont="1" applyFill="1" applyBorder="1"/>
    <xf numFmtId="164" fontId="1" fillId="3" borderId="5" xfId="1" applyNumberFormat="1" applyFont="1" applyFill="1" applyBorder="1" applyAlignment="1">
      <alignment wrapText="1"/>
    </xf>
    <xf numFmtId="0" fontId="0" fillId="3" borderId="13" xfId="0" applyFill="1" applyBorder="1"/>
    <xf numFmtId="43" fontId="0" fillId="3" borderId="1" xfId="1" applyFont="1" applyFill="1" applyBorder="1"/>
    <xf numFmtId="164" fontId="1" fillId="3" borderId="5" xfId="1" applyNumberFormat="1" applyFont="1" applyFill="1" applyBorder="1"/>
    <xf numFmtId="0" fontId="0" fillId="3" borderId="1" xfId="0" applyFill="1" applyBorder="1" applyAlignment="1">
      <alignment horizontal="right"/>
    </xf>
    <xf numFmtId="0" fontId="1" fillId="3" borderId="13" xfId="0" applyFont="1" applyFill="1" applyBorder="1" applyAlignment="1">
      <alignment horizontal="left"/>
    </xf>
    <xf numFmtId="165" fontId="1" fillId="3" borderId="5" xfId="1" applyNumberFormat="1" applyFont="1" applyFill="1" applyBorder="1"/>
    <xf numFmtId="0" fontId="0" fillId="3" borderId="1" xfId="0" applyFill="1" applyBorder="1" applyAlignment="1">
      <alignment horizontal="left"/>
    </xf>
    <xf numFmtId="166" fontId="1" fillId="3" borderId="5" xfId="1" applyNumberFormat="1" applyFont="1" applyFill="1" applyBorder="1"/>
    <xf numFmtId="164" fontId="1" fillId="3" borderId="5" xfId="1" applyNumberFormat="1" applyFont="1" applyFill="1" applyBorder="1" applyAlignment="1"/>
    <xf numFmtId="0" fontId="0" fillId="3" borderId="14" xfId="0" applyFill="1" applyBorder="1" applyAlignment="1">
      <alignment horizontal="right"/>
    </xf>
    <xf numFmtId="166" fontId="1" fillId="3" borderId="9" xfId="1" applyNumberFormat="1" applyFont="1" applyFill="1" applyBorder="1"/>
    <xf numFmtId="0" fontId="0" fillId="3" borderId="9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B647-36B0-431A-B51B-DAD185D71821}">
  <dimension ref="A2:B39"/>
  <sheetViews>
    <sheetView topLeftCell="A9" workbookViewId="0">
      <selection activeCell="B19" sqref="B19"/>
    </sheetView>
  </sheetViews>
  <sheetFormatPr defaultRowHeight="14.4" x14ac:dyDescent="0.3"/>
  <cols>
    <col min="1" max="1" width="18" customWidth="1"/>
    <col min="2" max="2" width="53.33203125" customWidth="1"/>
  </cols>
  <sheetData>
    <row r="2" spans="1:2" x14ac:dyDescent="0.3">
      <c r="A2" s="6" t="s">
        <v>0</v>
      </c>
      <c r="B2" s="6"/>
    </row>
    <row r="4" spans="1:2" x14ac:dyDescent="0.3">
      <c r="A4" s="1">
        <v>45748</v>
      </c>
      <c r="B4" t="s">
        <v>1</v>
      </c>
    </row>
    <row r="5" spans="1:2" x14ac:dyDescent="0.3">
      <c r="A5" s="1">
        <v>45750</v>
      </c>
      <c r="B5" t="s">
        <v>2</v>
      </c>
    </row>
    <row r="6" spans="1:2" x14ac:dyDescent="0.3">
      <c r="A6" s="1">
        <v>45752</v>
      </c>
      <c r="B6" t="s">
        <v>3</v>
      </c>
    </row>
    <row r="7" spans="1:2" x14ac:dyDescent="0.3">
      <c r="A7" s="1">
        <v>45755</v>
      </c>
      <c r="B7" t="s">
        <v>4</v>
      </c>
    </row>
    <row r="8" spans="1:2" x14ac:dyDescent="0.3">
      <c r="A8" s="1">
        <v>45759</v>
      </c>
      <c r="B8" t="s">
        <v>5</v>
      </c>
    </row>
    <row r="9" spans="1:2" x14ac:dyDescent="0.3">
      <c r="A9" s="1">
        <v>45762</v>
      </c>
      <c r="B9" t="s">
        <v>6</v>
      </c>
    </row>
    <row r="10" spans="1:2" x14ac:dyDescent="0.3">
      <c r="A10" s="1">
        <v>45767</v>
      </c>
      <c r="B10" t="s">
        <v>7</v>
      </c>
    </row>
    <row r="11" spans="1:2" x14ac:dyDescent="0.3">
      <c r="A11" s="1">
        <v>45769</v>
      </c>
      <c r="B11" t="s">
        <v>8</v>
      </c>
    </row>
    <row r="12" spans="1:2" x14ac:dyDescent="0.3">
      <c r="A12" s="1">
        <v>45772</v>
      </c>
      <c r="B12" t="s">
        <v>9</v>
      </c>
    </row>
    <row r="13" spans="1:2" x14ac:dyDescent="0.3">
      <c r="A13" s="1">
        <v>45777</v>
      </c>
      <c r="B13" t="s">
        <v>10</v>
      </c>
    </row>
    <row r="14" spans="1:2" x14ac:dyDescent="0.3">
      <c r="A14" s="1">
        <v>45782</v>
      </c>
      <c r="B14" t="s">
        <v>11</v>
      </c>
    </row>
    <row r="15" spans="1:2" x14ac:dyDescent="0.3">
      <c r="A15" s="1">
        <v>45787</v>
      </c>
      <c r="B15" t="s">
        <v>12</v>
      </c>
    </row>
    <row r="16" spans="1:2" x14ac:dyDescent="0.3">
      <c r="A16" s="1">
        <v>45792</v>
      </c>
      <c r="B16" t="s">
        <v>13</v>
      </c>
    </row>
    <row r="17" spans="1:2" x14ac:dyDescent="0.3">
      <c r="A17" s="1">
        <v>45809</v>
      </c>
      <c r="B17" t="s">
        <v>14</v>
      </c>
    </row>
    <row r="18" spans="1:2" x14ac:dyDescent="0.3">
      <c r="A18" s="1">
        <v>45823</v>
      </c>
      <c r="B18" t="s">
        <v>15</v>
      </c>
    </row>
    <row r="19" spans="1:2" x14ac:dyDescent="0.3">
      <c r="A19" s="1">
        <v>45843</v>
      </c>
      <c r="B19" t="s">
        <v>16</v>
      </c>
    </row>
    <row r="20" spans="1:2" x14ac:dyDescent="0.3">
      <c r="A20" s="1">
        <v>45858</v>
      </c>
      <c r="B20" t="s">
        <v>17</v>
      </c>
    </row>
    <row r="21" spans="1:2" x14ac:dyDescent="0.3">
      <c r="A21" s="1">
        <v>45870</v>
      </c>
      <c r="B21" t="s">
        <v>18</v>
      </c>
    </row>
    <row r="22" spans="1:2" x14ac:dyDescent="0.3">
      <c r="A22" s="1">
        <v>45879</v>
      </c>
      <c r="B22" t="s">
        <v>19</v>
      </c>
    </row>
    <row r="23" spans="1:2" x14ac:dyDescent="0.3">
      <c r="A23" s="1">
        <v>45901</v>
      </c>
      <c r="B23" t="s">
        <v>20</v>
      </c>
    </row>
    <row r="24" spans="1:2" x14ac:dyDescent="0.3">
      <c r="A24" s="1">
        <v>45915</v>
      </c>
      <c r="B24" t="s">
        <v>21</v>
      </c>
    </row>
    <row r="25" spans="1:2" x14ac:dyDescent="0.3">
      <c r="A25" s="1">
        <v>45931</v>
      </c>
      <c r="B25" t="s">
        <v>22</v>
      </c>
    </row>
    <row r="26" spans="1:2" x14ac:dyDescent="0.3">
      <c r="A26" s="1">
        <v>45950</v>
      </c>
      <c r="B26" t="s">
        <v>23</v>
      </c>
    </row>
    <row r="27" spans="1:2" x14ac:dyDescent="0.3">
      <c r="A27" s="1">
        <v>45966</v>
      </c>
      <c r="B27" t="s">
        <v>24</v>
      </c>
    </row>
    <row r="28" spans="1:2" x14ac:dyDescent="0.3">
      <c r="A28" s="1">
        <v>45992</v>
      </c>
      <c r="B28" t="s">
        <v>25</v>
      </c>
    </row>
    <row r="29" spans="1:2" x14ac:dyDescent="0.3">
      <c r="A29" s="1">
        <v>46011</v>
      </c>
      <c r="B29" t="s">
        <v>26</v>
      </c>
    </row>
    <row r="30" spans="1:2" x14ac:dyDescent="0.3">
      <c r="A30" s="1">
        <v>46032</v>
      </c>
      <c r="B30" t="s">
        <v>27</v>
      </c>
    </row>
    <row r="31" spans="1:2" x14ac:dyDescent="0.3">
      <c r="A31" s="1">
        <v>46054</v>
      </c>
      <c r="B31" t="s">
        <v>16</v>
      </c>
    </row>
    <row r="32" spans="1:2" x14ac:dyDescent="0.3">
      <c r="A32" s="1">
        <v>46091</v>
      </c>
      <c r="B32" t="s">
        <v>28</v>
      </c>
    </row>
    <row r="33" spans="1:2" x14ac:dyDescent="0.3">
      <c r="A33" s="1">
        <v>46106</v>
      </c>
      <c r="B33" t="s">
        <v>29</v>
      </c>
    </row>
    <row r="34" spans="1:2" x14ac:dyDescent="0.3">
      <c r="A34" s="6" t="s">
        <v>30</v>
      </c>
      <c r="B34" s="6"/>
    </row>
    <row r="35" spans="1:2" x14ac:dyDescent="0.3">
      <c r="B35" t="s">
        <v>31</v>
      </c>
    </row>
    <row r="36" spans="1:2" x14ac:dyDescent="0.3">
      <c r="B36" t="s">
        <v>32</v>
      </c>
    </row>
    <row r="37" spans="1:2" x14ac:dyDescent="0.3">
      <c r="B37" t="s">
        <v>33</v>
      </c>
    </row>
    <row r="38" spans="1:2" x14ac:dyDescent="0.3">
      <c r="B38" t="s">
        <v>34</v>
      </c>
    </row>
    <row r="39" spans="1:2" x14ac:dyDescent="0.3">
      <c r="B39" t="s">
        <v>35</v>
      </c>
    </row>
  </sheetData>
  <mergeCells count="2">
    <mergeCell ref="A2:B2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305B-1495-4BA2-AF13-A96ED5AAED1A}">
  <dimension ref="A1:F92"/>
  <sheetViews>
    <sheetView topLeftCell="A81" workbookViewId="0">
      <selection activeCell="H5" sqref="H5"/>
    </sheetView>
  </sheetViews>
  <sheetFormatPr defaultRowHeight="14.4" x14ac:dyDescent="0.3"/>
  <cols>
    <col min="1" max="1" width="12.21875" customWidth="1"/>
    <col min="2" max="2" width="42.77734375" customWidth="1"/>
    <col min="3" max="3" width="3.33203125" bestFit="1" customWidth="1"/>
    <col min="4" max="4" width="3.5546875" bestFit="1" customWidth="1"/>
    <col min="5" max="5" width="14.21875" customWidth="1"/>
    <col min="6" max="6" width="13.6640625" customWidth="1"/>
  </cols>
  <sheetData>
    <row r="1" spans="1:6" ht="15.6" x14ac:dyDescent="0.3">
      <c r="A1" s="5" t="s">
        <v>36</v>
      </c>
      <c r="B1" s="5"/>
      <c r="C1" s="5"/>
      <c r="D1" s="5"/>
      <c r="E1" s="5"/>
      <c r="F1" s="5"/>
    </row>
    <row r="2" spans="1:6" ht="15.6" x14ac:dyDescent="0.3">
      <c r="A2" s="4" t="s">
        <v>37</v>
      </c>
      <c r="B2" s="4" t="s">
        <v>38</v>
      </c>
      <c r="C2" s="4"/>
      <c r="D2" s="4" t="s">
        <v>39</v>
      </c>
      <c r="E2" s="4" t="s">
        <v>40</v>
      </c>
      <c r="F2" s="4" t="s">
        <v>41</v>
      </c>
    </row>
    <row r="3" spans="1:6" ht="15.6" x14ac:dyDescent="0.3">
      <c r="A3" s="2" t="s">
        <v>42</v>
      </c>
      <c r="B3" s="2" t="s">
        <v>43</v>
      </c>
      <c r="C3" s="2" t="s">
        <v>44</v>
      </c>
      <c r="D3" s="2"/>
      <c r="E3" s="3">
        <v>600000</v>
      </c>
      <c r="F3" s="2"/>
    </row>
    <row r="4" spans="1:6" ht="15.6" x14ac:dyDescent="0.3">
      <c r="A4" s="2"/>
      <c r="B4" s="2" t="s">
        <v>45</v>
      </c>
      <c r="C4" s="2"/>
      <c r="D4" s="2"/>
      <c r="E4" s="2"/>
      <c r="F4" s="3">
        <v>600000</v>
      </c>
    </row>
    <row r="5" spans="1:6" ht="15.6" x14ac:dyDescent="0.3">
      <c r="A5" s="2"/>
      <c r="B5" s="2" t="s">
        <v>46</v>
      </c>
      <c r="C5" s="2"/>
      <c r="D5" s="2"/>
      <c r="E5" s="2"/>
      <c r="F5" s="2"/>
    </row>
    <row r="6" spans="1:6" ht="15.6" x14ac:dyDescent="0.3">
      <c r="A6" s="2" t="s">
        <v>47</v>
      </c>
      <c r="B6" s="2" t="s">
        <v>48</v>
      </c>
      <c r="C6" s="2" t="s">
        <v>44</v>
      </c>
      <c r="D6" s="2"/>
      <c r="E6" s="3">
        <v>250000</v>
      </c>
      <c r="F6" s="2"/>
    </row>
    <row r="7" spans="1:6" ht="15.6" x14ac:dyDescent="0.3">
      <c r="A7" s="2"/>
      <c r="B7" s="2" t="s">
        <v>49</v>
      </c>
      <c r="C7" s="2"/>
      <c r="D7" s="2"/>
      <c r="E7" s="2"/>
      <c r="F7" s="3">
        <v>250000</v>
      </c>
    </row>
    <row r="8" spans="1:6" ht="15.6" x14ac:dyDescent="0.3">
      <c r="A8" s="2"/>
      <c r="B8" s="2" t="s">
        <v>50</v>
      </c>
      <c r="C8" s="2"/>
      <c r="D8" s="2"/>
      <c r="E8" s="2"/>
      <c r="F8" s="2"/>
    </row>
    <row r="9" spans="1:6" ht="15.6" x14ac:dyDescent="0.3">
      <c r="A9" s="2" t="s">
        <v>51</v>
      </c>
      <c r="B9" s="2" t="s">
        <v>52</v>
      </c>
      <c r="C9" s="2" t="s">
        <v>44</v>
      </c>
      <c r="D9" s="2"/>
      <c r="E9" s="3">
        <v>100000</v>
      </c>
      <c r="F9" s="2"/>
    </row>
    <row r="10" spans="1:6" ht="15.6" x14ac:dyDescent="0.3">
      <c r="A10" s="2"/>
      <c r="B10" s="2" t="s">
        <v>49</v>
      </c>
      <c r="C10" s="2"/>
      <c r="D10" s="2"/>
      <c r="E10" s="2"/>
      <c r="F10" s="3">
        <v>100000</v>
      </c>
    </row>
    <row r="11" spans="1:6" ht="15.6" x14ac:dyDescent="0.3">
      <c r="A11" s="2"/>
      <c r="B11" s="2" t="s">
        <v>53</v>
      </c>
      <c r="C11" s="2"/>
      <c r="D11" s="2"/>
      <c r="E11" s="2"/>
      <c r="F11" s="2"/>
    </row>
    <row r="12" spans="1:6" ht="15.6" x14ac:dyDescent="0.3">
      <c r="A12" s="2" t="s">
        <v>54</v>
      </c>
      <c r="B12" s="2" t="s">
        <v>52</v>
      </c>
      <c r="C12" s="2" t="s">
        <v>44</v>
      </c>
      <c r="D12" s="2"/>
      <c r="E12" s="3">
        <v>150000</v>
      </c>
      <c r="F12" s="2"/>
    </row>
    <row r="13" spans="1:6" ht="15.6" x14ac:dyDescent="0.3">
      <c r="A13" s="2"/>
      <c r="B13" s="2" t="s">
        <v>55</v>
      </c>
      <c r="C13" s="2"/>
      <c r="D13" s="2"/>
      <c r="E13" s="2"/>
      <c r="F13" s="3">
        <v>150000</v>
      </c>
    </row>
    <row r="14" spans="1:6" ht="15.6" x14ac:dyDescent="0.3">
      <c r="A14" s="2"/>
      <c r="B14" s="2" t="s">
        <v>56</v>
      </c>
      <c r="C14" s="2"/>
      <c r="D14" s="2"/>
      <c r="E14" s="2"/>
      <c r="F14" s="2"/>
    </row>
    <row r="15" spans="1:6" ht="15.6" x14ac:dyDescent="0.3">
      <c r="A15" s="2" t="s">
        <v>57</v>
      </c>
      <c r="B15" s="2" t="s">
        <v>43</v>
      </c>
      <c r="C15" s="2" t="s">
        <v>44</v>
      </c>
      <c r="D15" s="2"/>
      <c r="E15" s="3">
        <v>80000</v>
      </c>
      <c r="F15" s="2"/>
    </row>
    <row r="16" spans="1:6" ht="15.6" x14ac:dyDescent="0.3">
      <c r="A16" s="2"/>
      <c r="B16" s="2" t="s">
        <v>58</v>
      </c>
      <c r="C16" s="2"/>
      <c r="D16" s="2"/>
      <c r="E16" s="2"/>
      <c r="F16" s="3">
        <v>80000</v>
      </c>
    </row>
    <row r="17" spans="1:6" ht="15.6" x14ac:dyDescent="0.3">
      <c r="A17" s="2"/>
      <c r="B17" s="2" t="s">
        <v>59</v>
      </c>
      <c r="C17" s="2"/>
      <c r="D17" s="2"/>
      <c r="E17" s="2"/>
      <c r="F17" s="2"/>
    </row>
    <row r="18" spans="1:6" ht="15.6" x14ac:dyDescent="0.3">
      <c r="A18" s="2" t="s">
        <v>60</v>
      </c>
      <c r="B18" s="2" t="s">
        <v>61</v>
      </c>
      <c r="C18" s="2" t="s">
        <v>44</v>
      </c>
      <c r="D18" s="2"/>
      <c r="E18" s="3">
        <v>120000</v>
      </c>
      <c r="F18" s="2"/>
    </row>
    <row r="19" spans="1:6" ht="15.6" x14ac:dyDescent="0.3">
      <c r="A19" s="2"/>
      <c r="B19" s="2" t="s">
        <v>58</v>
      </c>
      <c r="C19" s="2"/>
      <c r="D19" s="2"/>
      <c r="E19" s="2"/>
      <c r="F19" s="3">
        <v>120000</v>
      </c>
    </row>
    <row r="20" spans="1:6" ht="15.6" x14ac:dyDescent="0.3">
      <c r="A20" s="2"/>
      <c r="B20" s="2" t="s">
        <v>62</v>
      </c>
      <c r="C20" s="2"/>
      <c r="D20" s="2"/>
      <c r="E20" s="2"/>
      <c r="F20" s="2"/>
    </row>
    <row r="21" spans="1:6" ht="15.6" x14ac:dyDescent="0.3">
      <c r="A21" s="2" t="s">
        <v>63</v>
      </c>
      <c r="B21" s="2" t="s">
        <v>64</v>
      </c>
      <c r="C21" s="2" t="s">
        <v>44</v>
      </c>
      <c r="D21" s="2"/>
      <c r="E21" s="3">
        <v>12000</v>
      </c>
      <c r="F21" s="2"/>
    </row>
    <row r="22" spans="1:6" ht="15.6" x14ac:dyDescent="0.3">
      <c r="A22" s="2"/>
      <c r="B22" s="2" t="s">
        <v>49</v>
      </c>
      <c r="C22" s="2"/>
      <c r="D22" s="2"/>
      <c r="E22" s="2"/>
      <c r="F22" s="3">
        <v>12000</v>
      </c>
    </row>
    <row r="23" spans="1:6" ht="15.6" x14ac:dyDescent="0.3">
      <c r="A23" s="2"/>
      <c r="B23" s="2" t="s">
        <v>65</v>
      </c>
      <c r="C23" s="2"/>
      <c r="D23" s="2"/>
      <c r="E23" s="2"/>
      <c r="F23" s="2"/>
    </row>
    <row r="24" spans="1:6" ht="15.6" x14ac:dyDescent="0.3">
      <c r="A24" s="2" t="s">
        <v>66</v>
      </c>
      <c r="B24" s="2" t="s">
        <v>67</v>
      </c>
      <c r="C24" s="2" t="s">
        <v>44</v>
      </c>
      <c r="D24" s="2"/>
      <c r="E24" s="3">
        <v>8000</v>
      </c>
      <c r="F24" s="2"/>
    </row>
    <row r="25" spans="1:6" ht="15.6" x14ac:dyDescent="0.3">
      <c r="A25" s="2"/>
      <c r="B25" s="2" t="s">
        <v>49</v>
      </c>
      <c r="C25" s="2"/>
      <c r="D25" s="2"/>
      <c r="E25" s="2"/>
      <c r="F25" s="3">
        <v>8000</v>
      </c>
    </row>
    <row r="26" spans="1:6" ht="15.6" x14ac:dyDescent="0.3">
      <c r="A26" s="2"/>
      <c r="B26" s="2" t="s">
        <v>68</v>
      </c>
      <c r="C26" s="2"/>
      <c r="D26" s="2"/>
      <c r="E26" s="2"/>
      <c r="F26" s="2"/>
    </row>
    <row r="27" spans="1:6" ht="15.6" x14ac:dyDescent="0.3">
      <c r="A27" s="2" t="s">
        <v>69</v>
      </c>
      <c r="B27" s="2" t="s">
        <v>70</v>
      </c>
      <c r="C27" s="2" t="s">
        <v>44</v>
      </c>
      <c r="D27" s="2"/>
      <c r="E27" s="3">
        <v>50000</v>
      </c>
      <c r="F27" s="2"/>
    </row>
    <row r="28" spans="1:6" ht="15.6" x14ac:dyDescent="0.3">
      <c r="A28" s="2"/>
      <c r="B28" s="2" t="s">
        <v>71</v>
      </c>
      <c r="C28" s="2"/>
      <c r="D28" s="2"/>
      <c r="E28" s="2"/>
      <c r="F28" s="3">
        <v>50000</v>
      </c>
    </row>
    <row r="29" spans="1:6" ht="15.6" x14ac:dyDescent="0.3">
      <c r="A29" s="2"/>
      <c r="B29" s="2" t="s">
        <v>72</v>
      </c>
      <c r="C29" s="2"/>
      <c r="D29" s="2"/>
      <c r="E29" s="2"/>
      <c r="F29" s="2"/>
    </row>
    <row r="30" spans="1:6" ht="15.6" x14ac:dyDescent="0.3">
      <c r="A30" s="2" t="s">
        <v>73</v>
      </c>
      <c r="B30" s="2" t="s">
        <v>43</v>
      </c>
      <c r="C30" s="2" t="s">
        <v>44</v>
      </c>
      <c r="D30" s="2"/>
      <c r="E30" s="3">
        <v>70000</v>
      </c>
      <c r="F30" s="2"/>
    </row>
    <row r="31" spans="1:6" ht="15.6" x14ac:dyDescent="0.3">
      <c r="A31" s="2"/>
      <c r="B31" s="2" t="s">
        <v>74</v>
      </c>
      <c r="C31" s="2"/>
      <c r="D31" s="2"/>
      <c r="E31" s="2"/>
      <c r="F31" s="3">
        <v>70000</v>
      </c>
    </row>
    <row r="32" spans="1:6" ht="15.6" x14ac:dyDescent="0.3">
      <c r="A32" s="2"/>
      <c r="B32" s="2" t="s">
        <v>75</v>
      </c>
      <c r="C32" s="2"/>
      <c r="D32" s="2"/>
      <c r="E32" s="2"/>
      <c r="F32" s="2"/>
    </row>
    <row r="33" spans="1:6" ht="15.6" x14ac:dyDescent="0.3">
      <c r="A33" s="2" t="s">
        <v>76</v>
      </c>
      <c r="B33" s="2" t="s">
        <v>77</v>
      </c>
      <c r="C33" s="2" t="s">
        <v>44</v>
      </c>
      <c r="D33" s="2"/>
      <c r="E33" s="3">
        <v>15000</v>
      </c>
      <c r="F33" s="2"/>
    </row>
    <row r="34" spans="1:6" ht="15.6" x14ac:dyDescent="0.3">
      <c r="A34" s="2"/>
      <c r="B34" s="2" t="s">
        <v>78</v>
      </c>
      <c r="C34" s="2"/>
      <c r="D34" s="2"/>
      <c r="E34" s="2"/>
      <c r="F34" s="3">
        <v>15000</v>
      </c>
    </row>
    <row r="35" spans="1:6" ht="15.6" x14ac:dyDescent="0.3">
      <c r="A35" s="2"/>
      <c r="B35" s="2" t="s">
        <v>79</v>
      </c>
      <c r="C35" s="2"/>
      <c r="D35" s="2"/>
      <c r="E35" s="2"/>
      <c r="F35" s="2"/>
    </row>
    <row r="36" spans="1:6" ht="15.6" x14ac:dyDescent="0.3">
      <c r="A36" s="2" t="s">
        <v>80</v>
      </c>
      <c r="B36" s="2" t="s">
        <v>81</v>
      </c>
      <c r="C36" s="2" t="s">
        <v>44</v>
      </c>
      <c r="D36" s="2"/>
      <c r="E36" s="3">
        <v>8000</v>
      </c>
      <c r="F36" s="2"/>
    </row>
    <row r="37" spans="1:6" ht="15.6" x14ac:dyDescent="0.3">
      <c r="A37" s="2"/>
      <c r="B37" s="2" t="s">
        <v>74</v>
      </c>
      <c r="C37" s="2"/>
      <c r="D37" s="2"/>
      <c r="E37" s="2"/>
      <c r="F37" s="3">
        <v>8000</v>
      </c>
    </row>
    <row r="38" spans="1:6" ht="15.6" x14ac:dyDescent="0.3">
      <c r="A38" s="2"/>
      <c r="B38" s="2" t="s">
        <v>82</v>
      </c>
      <c r="C38" s="2"/>
      <c r="D38" s="2"/>
      <c r="E38" s="2"/>
      <c r="F38" s="2"/>
    </row>
    <row r="39" spans="1:6" ht="15.6" x14ac:dyDescent="0.3">
      <c r="A39" s="2" t="s">
        <v>83</v>
      </c>
      <c r="B39" s="2" t="s">
        <v>77</v>
      </c>
      <c r="C39" s="2" t="s">
        <v>44</v>
      </c>
      <c r="D39" s="2"/>
      <c r="E39" s="3">
        <v>120000</v>
      </c>
      <c r="F39" s="2"/>
    </row>
    <row r="40" spans="1:6" ht="15.6" x14ac:dyDescent="0.3">
      <c r="A40" s="2"/>
      <c r="B40" s="2" t="s">
        <v>71</v>
      </c>
      <c r="C40" s="2"/>
      <c r="D40" s="2"/>
      <c r="E40" s="2"/>
      <c r="F40" s="3">
        <v>120000</v>
      </c>
    </row>
    <row r="41" spans="1:6" ht="15.6" x14ac:dyDescent="0.3">
      <c r="A41" s="2"/>
      <c r="B41" s="2" t="s">
        <v>84</v>
      </c>
      <c r="C41" s="2"/>
      <c r="D41" s="2"/>
      <c r="E41" s="2"/>
      <c r="F41" s="2"/>
    </row>
    <row r="42" spans="1:6" ht="15.6" x14ac:dyDescent="0.3">
      <c r="A42" s="2" t="s">
        <v>85</v>
      </c>
      <c r="B42" s="2" t="s">
        <v>52</v>
      </c>
      <c r="C42" s="2" t="s">
        <v>44</v>
      </c>
      <c r="D42" s="2"/>
      <c r="E42" s="3">
        <v>60000</v>
      </c>
      <c r="F42" s="2"/>
    </row>
    <row r="43" spans="1:6" ht="15.6" x14ac:dyDescent="0.3">
      <c r="A43" s="2"/>
      <c r="B43" s="2" t="s">
        <v>49</v>
      </c>
      <c r="C43" s="2"/>
      <c r="D43" s="2"/>
      <c r="E43" s="2"/>
      <c r="F43" s="3">
        <v>60000</v>
      </c>
    </row>
    <row r="44" spans="1:6" ht="15.6" x14ac:dyDescent="0.3">
      <c r="A44" s="2"/>
      <c r="B44" s="2" t="s">
        <v>53</v>
      </c>
      <c r="C44" s="2"/>
      <c r="D44" s="2"/>
      <c r="E44" s="2"/>
      <c r="F44" s="2"/>
    </row>
    <row r="45" spans="1:6" ht="15.6" x14ac:dyDescent="0.3">
      <c r="A45" s="2" t="s">
        <v>86</v>
      </c>
      <c r="B45" s="2" t="s">
        <v>43</v>
      </c>
      <c r="C45" s="2" t="s">
        <v>44</v>
      </c>
      <c r="D45" s="2"/>
      <c r="E45" s="3">
        <v>90000</v>
      </c>
      <c r="F45" s="2"/>
    </row>
    <row r="46" spans="1:6" ht="15.6" x14ac:dyDescent="0.3">
      <c r="A46" s="2"/>
      <c r="B46" s="2" t="s">
        <v>58</v>
      </c>
      <c r="C46" s="2"/>
      <c r="D46" s="2"/>
      <c r="E46" s="2"/>
      <c r="F46" s="3">
        <v>90000</v>
      </c>
    </row>
    <row r="47" spans="1:6" ht="15.6" x14ac:dyDescent="0.3">
      <c r="A47" s="2"/>
      <c r="B47" s="2" t="s">
        <v>59</v>
      </c>
      <c r="C47" s="2"/>
      <c r="D47" s="2"/>
      <c r="E47" s="2"/>
      <c r="F47" s="2"/>
    </row>
    <row r="48" spans="1:6" ht="15.6" x14ac:dyDescent="0.3">
      <c r="A48" s="2" t="s">
        <v>87</v>
      </c>
      <c r="B48" s="2" t="s">
        <v>88</v>
      </c>
      <c r="C48" s="2" t="s">
        <v>44</v>
      </c>
      <c r="D48" s="2"/>
      <c r="E48" s="3">
        <v>18000</v>
      </c>
      <c r="F48" s="2"/>
    </row>
    <row r="49" spans="1:6" ht="15.6" x14ac:dyDescent="0.3">
      <c r="A49" s="2"/>
      <c r="B49" s="2" t="s">
        <v>49</v>
      </c>
      <c r="C49" s="2"/>
      <c r="D49" s="2"/>
      <c r="E49" s="2"/>
      <c r="F49" s="3">
        <v>18000</v>
      </c>
    </row>
    <row r="50" spans="1:6" ht="15.6" x14ac:dyDescent="0.3">
      <c r="A50" s="2"/>
      <c r="B50" s="2" t="s">
        <v>89</v>
      </c>
      <c r="C50" s="2"/>
      <c r="D50" s="2"/>
      <c r="E50" s="2"/>
      <c r="F50" s="2"/>
    </row>
    <row r="51" spans="1:6" ht="15.6" x14ac:dyDescent="0.3">
      <c r="A51" s="2" t="s">
        <v>90</v>
      </c>
      <c r="B51" s="2" t="s">
        <v>43</v>
      </c>
      <c r="C51" s="2" t="s">
        <v>44</v>
      </c>
      <c r="D51" s="2"/>
      <c r="E51" s="3">
        <v>10000</v>
      </c>
      <c r="F51" s="2"/>
    </row>
    <row r="52" spans="1:6" ht="15.6" x14ac:dyDescent="0.3">
      <c r="A52" s="2"/>
      <c r="B52" s="2" t="s">
        <v>91</v>
      </c>
      <c r="C52" s="2"/>
      <c r="D52" s="2"/>
      <c r="E52" s="2"/>
      <c r="F52" s="3">
        <v>10000</v>
      </c>
    </row>
    <row r="53" spans="1:6" ht="15.6" x14ac:dyDescent="0.3">
      <c r="A53" s="2"/>
      <c r="B53" s="2" t="s">
        <v>92</v>
      </c>
      <c r="C53" s="2"/>
      <c r="D53" s="2"/>
      <c r="E53" s="2"/>
      <c r="F53" s="2"/>
    </row>
    <row r="54" spans="1:6" ht="15.6" x14ac:dyDescent="0.3">
      <c r="A54" s="2" t="s">
        <v>93</v>
      </c>
      <c r="B54" s="2" t="s">
        <v>94</v>
      </c>
      <c r="C54" s="2" t="s">
        <v>44</v>
      </c>
      <c r="D54" s="2"/>
      <c r="E54" s="3">
        <v>40000</v>
      </c>
      <c r="F54" s="2"/>
    </row>
    <row r="55" spans="1:6" ht="15.6" x14ac:dyDescent="0.3">
      <c r="A55" s="2"/>
      <c r="B55" s="2" t="s">
        <v>49</v>
      </c>
      <c r="C55" s="2"/>
      <c r="D55" s="2"/>
      <c r="E55" s="2"/>
      <c r="F55" s="3">
        <v>40000</v>
      </c>
    </row>
    <row r="56" spans="1:6" ht="15.6" x14ac:dyDescent="0.3">
      <c r="A56" s="2"/>
      <c r="B56" s="2" t="s">
        <v>95</v>
      </c>
      <c r="C56" s="2"/>
      <c r="D56" s="2"/>
      <c r="E56" s="2"/>
      <c r="F56" s="2"/>
    </row>
    <row r="57" spans="1:6" ht="15.6" x14ac:dyDescent="0.3">
      <c r="A57" s="2" t="s">
        <v>96</v>
      </c>
      <c r="B57" s="2" t="s">
        <v>97</v>
      </c>
      <c r="C57" s="2" t="s">
        <v>44</v>
      </c>
      <c r="D57" s="2"/>
      <c r="E57" s="3">
        <v>5000</v>
      </c>
      <c r="F57" s="2"/>
    </row>
    <row r="58" spans="1:6" ht="15.6" x14ac:dyDescent="0.3">
      <c r="A58" s="2"/>
      <c r="B58" s="2" t="s">
        <v>49</v>
      </c>
      <c r="C58" s="2"/>
      <c r="D58" s="2"/>
      <c r="E58" s="2"/>
      <c r="F58" s="3">
        <v>5000</v>
      </c>
    </row>
    <row r="59" spans="1:6" ht="15.6" x14ac:dyDescent="0.3">
      <c r="A59" s="2"/>
      <c r="B59" s="2" t="s">
        <v>98</v>
      </c>
      <c r="C59" s="2"/>
      <c r="D59" s="2"/>
      <c r="E59" s="2"/>
      <c r="F59" s="2"/>
    </row>
    <row r="60" spans="1:6" ht="15.6" x14ac:dyDescent="0.3">
      <c r="A60" s="2" t="s">
        <v>99</v>
      </c>
      <c r="B60" s="2" t="s">
        <v>52</v>
      </c>
      <c r="C60" s="2" t="s">
        <v>44</v>
      </c>
      <c r="D60" s="2"/>
      <c r="E60" s="3">
        <v>90000</v>
      </c>
      <c r="F60" s="2"/>
    </row>
    <row r="61" spans="1:6" ht="15.6" x14ac:dyDescent="0.3">
      <c r="A61" s="2"/>
      <c r="B61" s="2" t="s">
        <v>100</v>
      </c>
      <c r="C61" s="2"/>
      <c r="D61" s="2"/>
      <c r="E61" s="2"/>
      <c r="F61" s="3">
        <v>90000</v>
      </c>
    </row>
    <row r="62" spans="1:6" ht="15.6" x14ac:dyDescent="0.3">
      <c r="A62" s="2"/>
      <c r="B62" s="2" t="s">
        <v>101</v>
      </c>
      <c r="C62" s="2"/>
      <c r="D62" s="2"/>
      <c r="E62" s="2"/>
      <c r="F62" s="2"/>
    </row>
    <row r="63" spans="1:6" ht="15.6" x14ac:dyDescent="0.3">
      <c r="A63" s="2" t="s">
        <v>102</v>
      </c>
      <c r="B63" s="2" t="s">
        <v>103</v>
      </c>
      <c r="C63" s="2" t="s">
        <v>44</v>
      </c>
      <c r="D63" s="2"/>
      <c r="E63" s="3">
        <v>140000</v>
      </c>
      <c r="F63" s="2"/>
    </row>
    <row r="64" spans="1:6" ht="15.6" x14ac:dyDescent="0.3">
      <c r="A64" s="2"/>
      <c r="B64" s="2" t="s">
        <v>58</v>
      </c>
      <c r="C64" s="2"/>
      <c r="D64" s="2"/>
      <c r="E64" s="2"/>
      <c r="F64" s="3">
        <v>140000</v>
      </c>
    </row>
    <row r="65" spans="1:6" ht="15.6" x14ac:dyDescent="0.3">
      <c r="A65" s="2"/>
      <c r="B65" s="2" t="s">
        <v>104</v>
      </c>
      <c r="C65" s="2"/>
      <c r="D65" s="2"/>
      <c r="E65" s="2"/>
      <c r="F65" s="2"/>
    </row>
    <row r="66" spans="1:6" ht="15.6" x14ac:dyDescent="0.3">
      <c r="A66" s="2" t="s">
        <v>105</v>
      </c>
      <c r="B66" s="2" t="s">
        <v>43</v>
      </c>
      <c r="C66" s="2" t="s">
        <v>44</v>
      </c>
      <c r="D66" s="2"/>
      <c r="E66" s="3">
        <v>100000</v>
      </c>
      <c r="F66" s="2"/>
    </row>
    <row r="67" spans="1:6" ht="15.6" x14ac:dyDescent="0.3">
      <c r="A67" s="2"/>
      <c r="B67" s="2" t="s">
        <v>106</v>
      </c>
      <c r="C67" s="2"/>
      <c r="D67" s="2"/>
      <c r="E67" s="2"/>
      <c r="F67" s="3">
        <v>100000</v>
      </c>
    </row>
    <row r="68" spans="1:6" ht="15.6" x14ac:dyDescent="0.3">
      <c r="A68" s="2"/>
      <c r="B68" s="2" t="s">
        <v>107</v>
      </c>
      <c r="C68" s="2"/>
      <c r="D68" s="2"/>
      <c r="E68" s="2"/>
      <c r="F68" s="2"/>
    </row>
    <row r="69" spans="1:6" ht="15.6" x14ac:dyDescent="0.3">
      <c r="A69" s="2" t="s">
        <v>108</v>
      </c>
      <c r="B69" s="2" t="s">
        <v>109</v>
      </c>
      <c r="C69" s="2" t="s">
        <v>44</v>
      </c>
      <c r="D69" s="2"/>
      <c r="E69" s="3">
        <v>12000</v>
      </c>
      <c r="F69" s="2"/>
    </row>
    <row r="70" spans="1:6" ht="15.6" x14ac:dyDescent="0.3">
      <c r="A70" s="2"/>
      <c r="B70" s="2" t="s">
        <v>49</v>
      </c>
      <c r="C70" s="2"/>
      <c r="D70" s="2"/>
      <c r="E70" s="2"/>
      <c r="F70" s="3">
        <v>12000</v>
      </c>
    </row>
    <row r="71" spans="1:6" ht="15.6" x14ac:dyDescent="0.3">
      <c r="A71" s="2"/>
      <c r="B71" s="2" t="s">
        <v>110</v>
      </c>
      <c r="C71" s="2"/>
      <c r="D71" s="2"/>
      <c r="E71" s="2"/>
      <c r="F71" s="2"/>
    </row>
    <row r="72" spans="1:6" ht="15.6" x14ac:dyDescent="0.3">
      <c r="A72" s="2" t="s">
        <v>111</v>
      </c>
      <c r="B72" s="2" t="s">
        <v>112</v>
      </c>
      <c r="C72" s="2" t="s">
        <v>44</v>
      </c>
      <c r="D72" s="2"/>
      <c r="E72" s="3">
        <v>10000</v>
      </c>
      <c r="F72" s="2"/>
    </row>
    <row r="73" spans="1:6" ht="15.6" x14ac:dyDescent="0.3">
      <c r="A73" s="2"/>
      <c r="B73" s="2" t="s">
        <v>49</v>
      </c>
      <c r="C73" s="2"/>
      <c r="D73" s="2"/>
      <c r="E73" s="2"/>
      <c r="F73" s="3">
        <v>10000</v>
      </c>
    </row>
    <row r="74" spans="1:6" ht="15.6" x14ac:dyDescent="0.3">
      <c r="A74" s="2"/>
      <c r="B74" s="2" t="s">
        <v>113</v>
      </c>
      <c r="C74" s="2"/>
      <c r="D74" s="2"/>
      <c r="E74" s="2"/>
      <c r="F74" s="2"/>
    </row>
    <row r="75" spans="1:6" ht="15.6" x14ac:dyDescent="0.3">
      <c r="A75" s="2" t="s">
        <v>114</v>
      </c>
      <c r="B75" s="2" t="s">
        <v>77</v>
      </c>
      <c r="C75" s="2" t="s">
        <v>44</v>
      </c>
      <c r="D75" s="2"/>
      <c r="E75" s="3">
        <v>3000</v>
      </c>
      <c r="F75" s="2"/>
    </row>
    <row r="76" spans="1:6" ht="15.6" x14ac:dyDescent="0.3">
      <c r="A76" s="2"/>
      <c r="B76" s="2" t="s">
        <v>115</v>
      </c>
      <c r="C76" s="2"/>
      <c r="D76" s="2"/>
      <c r="E76" s="2"/>
      <c r="F76" s="3">
        <v>3000</v>
      </c>
    </row>
    <row r="77" spans="1:6" ht="15.6" x14ac:dyDescent="0.3">
      <c r="A77" s="2"/>
      <c r="B77" s="2" t="s">
        <v>116</v>
      </c>
      <c r="C77" s="2"/>
      <c r="D77" s="2"/>
      <c r="E77" s="2"/>
      <c r="F77" s="2"/>
    </row>
    <row r="78" spans="1:6" ht="15.6" x14ac:dyDescent="0.3">
      <c r="A78" s="2" t="s">
        <v>117</v>
      </c>
      <c r="B78" s="2" t="s">
        <v>118</v>
      </c>
      <c r="C78" s="2" t="s">
        <v>44</v>
      </c>
      <c r="D78" s="2"/>
      <c r="E78" s="3">
        <v>25000</v>
      </c>
      <c r="F78" s="2"/>
    </row>
    <row r="79" spans="1:6" ht="15.6" x14ac:dyDescent="0.3">
      <c r="A79" s="2"/>
      <c r="B79" s="2" t="s">
        <v>49</v>
      </c>
      <c r="C79" s="2"/>
      <c r="D79" s="2"/>
      <c r="E79" s="2"/>
      <c r="F79" s="3">
        <v>25000</v>
      </c>
    </row>
    <row r="80" spans="1:6" ht="15.6" x14ac:dyDescent="0.3">
      <c r="A80" s="2"/>
      <c r="B80" s="2" t="s">
        <v>119</v>
      </c>
      <c r="C80" s="2"/>
      <c r="D80" s="2"/>
      <c r="E80" s="2"/>
      <c r="F80" s="2"/>
    </row>
    <row r="81" spans="1:6" ht="15.6" x14ac:dyDescent="0.3">
      <c r="A81" s="2" t="s">
        <v>120</v>
      </c>
      <c r="B81" s="2" t="s">
        <v>48</v>
      </c>
      <c r="C81" s="2" t="s">
        <v>44</v>
      </c>
      <c r="D81" s="2"/>
      <c r="E81" s="3">
        <v>6000</v>
      </c>
      <c r="F81" s="2"/>
    </row>
    <row r="82" spans="1:6" ht="15.6" x14ac:dyDescent="0.3">
      <c r="A82" s="2"/>
      <c r="B82" s="2" t="s">
        <v>121</v>
      </c>
      <c r="C82" s="2"/>
      <c r="D82" s="2"/>
      <c r="E82" s="2"/>
      <c r="F82" s="3">
        <v>6000</v>
      </c>
    </row>
    <row r="83" spans="1:6" ht="15.6" x14ac:dyDescent="0.3">
      <c r="A83" s="2"/>
      <c r="B83" s="2" t="s">
        <v>122</v>
      </c>
      <c r="C83" s="2"/>
      <c r="D83" s="2"/>
      <c r="E83" s="2"/>
      <c r="F83" s="2"/>
    </row>
    <row r="84" spans="1:6" ht="15.6" x14ac:dyDescent="0.3">
      <c r="A84" s="2" t="s">
        <v>123</v>
      </c>
      <c r="B84" s="2" t="s">
        <v>88</v>
      </c>
      <c r="C84" s="2" t="s">
        <v>44</v>
      </c>
      <c r="D84" s="2"/>
      <c r="E84" s="3">
        <v>18000</v>
      </c>
      <c r="F84" s="2"/>
    </row>
    <row r="85" spans="1:6" ht="15.6" x14ac:dyDescent="0.3">
      <c r="A85" s="2"/>
      <c r="B85" s="2" t="s">
        <v>49</v>
      </c>
      <c r="C85" s="2"/>
      <c r="D85" s="2"/>
      <c r="E85" s="2"/>
      <c r="F85" s="3">
        <v>18000</v>
      </c>
    </row>
    <row r="86" spans="1:6" ht="15.6" x14ac:dyDescent="0.3">
      <c r="A86" s="2"/>
      <c r="B86" s="2" t="s">
        <v>89</v>
      </c>
      <c r="C86" s="2"/>
      <c r="D86" s="2"/>
      <c r="E86" s="2"/>
      <c r="F86" s="2"/>
    </row>
    <row r="87" spans="1:6" ht="15.6" x14ac:dyDescent="0.3">
      <c r="A87" s="2" t="s">
        <v>124</v>
      </c>
      <c r="B87" s="2" t="s">
        <v>125</v>
      </c>
      <c r="C87" s="2" t="s">
        <v>44</v>
      </c>
      <c r="D87" s="2"/>
      <c r="E87" s="3">
        <v>80000</v>
      </c>
      <c r="F87" s="2"/>
    </row>
    <row r="88" spans="1:6" ht="15.6" x14ac:dyDescent="0.3">
      <c r="A88" s="2"/>
      <c r="B88" s="2" t="s">
        <v>49</v>
      </c>
      <c r="C88" s="2"/>
      <c r="D88" s="2"/>
      <c r="E88" s="2"/>
      <c r="F88" s="3">
        <v>80000</v>
      </c>
    </row>
    <row r="89" spans="1:6" ht="15.6" x14ac:dyDescent="0.3">
      <c r="A89" s="2"/>
      <c r="B89" s="2" t="s">
        <v>126</v>
      </c>
      <c r="C89" s="2"/>
      <c r="D89" s="2"/>
      <c r="E89" s="2"/>
      <c r="F89" s="2"/>
    </row>
    <row r="90" spans="1:6" ht="15.6" x14ac:dyDescent="0.3">
      <c r="A90" s="2" t="s">
        <v>127</v>
      </c>
      <c r="B90" s="2" t="s">
        <v>43</v>
      </c>
      <c r="C90" s="2" t="s">
        <v>44</v>
      </c>
      <c r="D90" s="2"/>
      <c r="E90" s="3">
        <v>110000</v>
      </c>
      <c r="F90" s="2"/>
    </row>
    <row r="91" spans="1:6" ht="15.6" x14ac:dyDescent="0.3">
      <c r="A91" s="2"/>
      <c r="B91" s="2" t="s">
        <v>58</v>
      </c>
      <c r="C91" s="2"/>
      <c r="D91" s="2"/>
      <c r="E91" s="2"/>
      <c r="F91" s="3">
        <v>110000</v>
      </c>
    </row>
    <row r="92" spans="1:6" ht="15.6" x14ac:dyDescent="0.3">
      <c r="A92" s="2"/>
      <c r="B92" s="2" t="s">
        <v>128</v>
      </c>
      <c r="C92" s="2"/>
      <c r="D92" s="2"/>
      <c r="E92" s="2"/>
      <c r="F92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849C-E92A-49CF-8CA9-BEA6BACA23D5}">
  <dimension ref="A1:H214"/>
  <sheetViews>
    <sheetView workbookViewId="0">
      <selection activeCell="F11" sqref="F11"/>
    </sheetView>
  </sheetViews>
  <sheetFormatPr defaultRowHeight="14.4" x14ac:dyDescent="0.3"/>
  <cols>
    <col min="1" max="1" width="10.33203125" bestFit="1" customWidth="1"/>
    <col min="2" max="2" width="31.109375" customWidth="1"/>
    <col min="3" max="3" width="3.88671875" bestFit="1" customWidth="1"/>
    <col min="4" max="4" width="10.5546875" bestFit="1" customWidth="1"/>
    <col min="5" max="5" width="10.33203125" bestFit="1" customWidth="1"/>
    <col min="6" max="6" width="33.5546875" customWidth="1"/>
    <col min="7" max="7" width="3.88671875" bestFit="1" customWidth="1"/>
    <col min="8" max="8" width="10.5546875" bestFit="1" customWidth="1"/>
  </cols>
  <sheetData>
    <row r="1" spans="1:8" ht="17.399999999999999" x14ac:dyDescent="0.3">
      <c r="A1" s="8" t="s">
        <v>130</v>
      </c>
      <c r="B1" s="8"/>
      <c r="C1" s="8"/>
      <c r="D1" s="8"/>
      <c r="E1" s="8"/>
      <c r="F1" s="8"/>
      <c r="G1" s="8"/>
      <c r="H1" s="8"/>
    </row>
    <row r="2" spans="1:8" x14ac:dyDescent="0.3">
      <c r="D2" s="9"/>
      <c r="H2" s="9"/>
    </row>
    <row r="3" spans="1:8" x14ac:dyDescent="0.3">
      <c r="D3" s="9"/>
      <c r="H3" s="9"/>
    </row>
    <row r="4" spans="1:8" ht="17.399999999999999" x14ac:dyDescent="0.3">
      <c r="A4" s="10" t="s">
        <v>131</v>
      </c>
      <c r="B4" s="7" t="s">
        <v>132</v>
      </c>
      <c r="C4" s="7"/>
      <c r="D4" s="7"/>
      <c r="E4" s="7"/>
      <c r="F4" s="7"/>
      <c r="G4" s="7"/>
      <c r="H4" s="11" t="s">
        <v>133</v>
      </c>
    </row>
    <row r="5" spans="1:8" ht="15.6" x14ac:dyDescent="0.3">
      <c r="A5" s="12" t="s">
        <v>129</v>
      </c>
      <c r="B5" s="12" t="s">
        <v>38</v>
      </c>
      <c r="C5" s="12" t="s">
        <v>134</v>
      </c>
      <c r="D5" s="13" t="s">
        <v>135</v>
      </c>
      <c r="E5" s="12" t="s">
        <v>129</v>
      </c>
      <c r="F5" s="12" t="s">
        <v>38</v>
      </c>
      <c r="G5" s="12" t="s">
        <v>134</v>
      </c>
      <c r="H5" s="13" t="s">
        <v>135</v>
      </c>
    </row>
    <row r="6" spans="1:8" x14ac:dyDescent="0.3">
      <c r="A6" s="14">
        <v>46112</v>
      </c>
      <c r="B6" s="15" t="s">
        <v>136</v>
      </c>
      <c r="C6" s="15"/>
      <c r="D6" s="16">
        <v>600000</v>
      </c>
      <c r="E6" s="14">
        <v>45748</v>
      </c>
      <c r="F6" s="15" t="s">
        <v>137</v>
      </c>
      <c r="G6" s="15"/>
      <c r="H6" s="16">
        <v>600000</v>
      </c>
    </row>
    <row r="7" spans="1:8" x14ac:dyDescent="0.3">
      <c r="A7" s="15"/>
      <c r="B7" s="15"/>
      <c r="C7" s="15"/>
      <c r="D7" s="16"/>
      <c r="E7" s="15"/>
      <c r="F7" s="15"/>
      <c r="G7" s="15"/>
      <c r="H7" s="16"/>
    </row>
    <row r="8" spans="1:8" x14ac:dyDescent="0.3">
      <c r="A8" s="15"/>
      <c r="B8" s="15"/>
      <c r="C8" s="15"/>
      <c r="D8" s="17">
        <v>600000</v>
      </c>
      <c r="E8" s="15"/>
      <c r="F8" s="15"/>
      <c r="G8" s="15"/>
      <c r="H8" s="17">
        <v>600000</v>
      </c>
    </row>
    <row r="9" spans="1:8" x14ac:dyDescent="0.3">
      <c r="A9" s="15"/>
      <c r="B9" s="15"/>
      <c r="C9" s="15"/>
      <c r="D9" s="16"/>
      <c r="E9" s="14">
        <v>46113</v>
      </c>
      <c r="F9" s="15" t="s">
        <v>138</v>
      </c>
      <c r="G9" s="15"/>
      <c r="H9" s="17">
        <v>600000</v>
      </c>
    </row>
    <row r="10" spans="1:8" x14ac:dyDescent="0.3">
      <c r="D10" s="9"/>
      <c r="H10" s="9"/>
    </row>
    <row r="11" spans="1:8" x14ac:dyDescent="0.3">
      <c r="D11" s="9"/>
      <c r="H11" s="9"/>
    </row>
    <row r="12" spans="1:8" ht="17.399999999999999" x14ac:dyDescent="0.3">
      <c r="A12" s="10" t="s">
        <v>131</v>
      </c>
      <c r="B12" s="7" t="s">
        <v>139</v>
      </c>
      <c r="C12" s="7"/>
      <c r="D12" s="7"/>
      <c r="E12" s="7"/>
      <c r="F12" s="7"/>
      <c r="G12" s="7"/>
      <c r="H12" s="11" t="s">
        <v>133</v>
      </c>
    </row>
    <row r="13" spans="1:8" ht="15.6" x14ac:dyDescent="0.3">
      <c r="A13" s="12" t="s">
        <v>129</v>
      </c>
      <c r="B13" s="12" t="s">
        <v>38</v>
      </c>
      <c r="C13" s="12" t="s">
        <v>134</v>
      </c>
      <c r="D13" s="13" t="s">
        <v>135</v>
      </c>
      <c r="E13" s="12" t="s">
        <v>129</v>
      </c>
      <c r="F13" s="12" t="s">
        <v>38</v>
      </c>
      <c r="G13" s="12" t="s">
        <v>134</v>
      </c>
      <c r="H13" s="13" t="s">
        <v>135</v>
      </c>
    </row>
    <row r="14" spans="1:8" x14ac:dyDescent="0.3">
      <c r="A14" s="14">
        <v>45717</v>
      </c>
      <c r="B14" s="15" t="s">
        <v>140</v>
      </c>
      <c r="C14" s="15"/>
      <c r="D14" s="18">
        <v>600000</v>
      </c>
      <c r="E14" s="14">
        <v>45750</v>
      </c>
      <c r="F14" s="15" t="s">
        <v>141</v>
      </c>
      <c r="G14" s="15"/>
      <c r="H14" s="18">
        <v>250000</v>
      </c>
    </row>
    <row r="15" spans="1:8" x14ac:dyDescent="0.3">
      <c r="A15" s="14">
        <v>45759</v>
      </c>
      <c r="B15" s="15" t="s">
        <v>142</v>
      </c>
      <c r="C15" s="15"/>
      <c r="D15" s="18">
        <v>80000</v>
      </c>
      <c r="E15" s="14">
        <v>45752</v>
      </c>
      <c r="F15" s="15" t="s">
        <v>143</v>
      </c>
      <c r="G15" s="15"/>
      <c r="H15" s="18">
        <v>100000</v>
      </c>
    </row>
    <row r="16" spans="1:8" x14ac:dyDescent="0.3">
      <c r="A16" s="14">
        <v>45777</v>
      </c>
      <c r="B16" s="15" t="s">
        <v>144</v>
      </c>
      <c r="C16" s="15"/>
      <c r="D16" s="18">
        <v>70000</v>
      </c>
      <c r="E16" s="14">
        <v>45767</v>
      </c>
      <c r="F16" s="15" t="s">
        <v>145</v>
      </c>
      <c r="G16" s="15"/>
      <c r="H16" s="18">
        <v>12000</v>
      </c>
    </row>
    <row r="17" spans="1:8" x14ac:dyDescent="0.3">
      <c r="A17" s="14">
        <v>45823</v>
      </c>
      <c r="B17" s="15" t="s">
        <v>142</v>
      </c>
      <c r="C17" s="15"/>
      <c r="D17" s="18">
        <v>90000</v>
      </c>
      <c r="E17" s="14">
        <v>45769</v>
      </c>
      <c r="F17" s="15" t="s">
        <v>146</v>
      </c>
      <c r="G17" s="15"/>
      <c r="H17" s="18">
        <v>8000</v>
      </c>
    </row>
    <row r="18" spans="1:8" x14ac:dyDescent="0.3">
      <c r="A18" s="14">
        <v>45858</v>
      </c>
      <c r="B18" s="15" t="s">
        <v>147</v>
      </c>
      <c r="C18" s="15"/>
      <c r="D18" s="16">
        <v>10000</v>
      </c>
      <c r="E18" s="14">
        <v>45809</v>
      </c>
      <c r="F18" s="15" t="s">
        <v>143</v>
      </c>
      <c r="G18" s="15"/>
      <c r="H18" s="16">
        <v>60000</v>
      </c>
    </row>
    <row r="19" spans="1:8" x14ac:dyDescent="0.3">
      <c r="A19" s="14">
        <v>45931</v>
      </c>
      <c r="B19" s="15" t="s">
        <v>148</v>
      </c>
      <c r="C19" s="15"/>
      <c r="D19" s="16">
        <v>100000</v>
      </c>
      <c r="E19" s="14">
        <v>45843</v>
      </c>
      <c r="F19" s="15" t="s">
        <v>149</v>
      </c>
      <c r="G19" s="15"/>
      <c r="H19" s="16">
        <v>18000</v>
      </c>
    </row>
    <row r="20" spans="1:8" x14ac:dyDescent="0.3">
      <c r="A20" s="14">
        <v>45992</v>
      </c>
      <c r="B20" s="15" t="s">
        <v>150</v>
      </c>
      <c r="C20" s="15"/>
      <c r="D20" s="16">
        <v>3000</v>
      </c>
      <c r="E20" s="14">
        <v>45870</v>
      </c>
      <c r="F20" s="15" t="s">
        <v>151</v>
      </c>
      <c r="G20" s="15"/>
      <c r="H20" s="16">
        <v>40000</v>
      </c>
    </row>
    <row r="21" spans="1:8" x14ac:dyDescent="0.3">
      <c r="A21" s="14">
        <v>46106</v>
      </c>
      <c r="B21" s="15" t="s">
        <v>142</v>
      </c>
      <c r="C21" s="15"/>
      <c r="D21" s="16">
        <v>110000</v>
      </c>
      <c r="E21" s="14">
        <v>45879</v>
      </c>
      <c r="F21" s="15" t="s">
        <v>152</v>
      </c>
      <c r="G21" s="15"/>
      <c r="H21" s="16">
        <v>5000</v>
      </c>
    </row>
    <row r="22" spans="1:8" x14ac:dyDescent="0.3">
      <c r="A22" s="15"/>
      <c r="B22" s="15"/>
      <c r="C22" s="15"/>
      <c r="D22" s="16"/>
      <c r="E22" s="14">
        <v>45950</v>
      </c>
      <c r="F22" s="15" t="s">
        <v>153</v>
      </c>
      <c r="G22" s="15"/>
      <c r="H22" s="16">
        <v>12000</v>
      </c>
    </row>
    <row r="23" spans="1:8" x14ac:dyDescent="0.3">
      <c r="A23" s="15"/>
      <c r="B23" s="15"/>
      <c r="C23" s="15"/>
      <c r="D23" s="16"/>
      <c r="E23" s="14">
        <v>45966</v>
      </c>
      <c r="F23" s="15" t="s">
        <v>154</v>
      </c>
      <c r="G23" s="15"/>
      <c r="H23" s="16">
        <v>10000</v>
      </c>
    </row>
    <row r="24" spans="1:8" x14ac:dyDescent="0.3">
      <c r="A24" s="15"/>
      <c r="B24" s="15"/>
      <c r="C24" s="15"/>
      <c r="D24" s="16"/>
      <c r="E24" s="14">
        <v>46011</v>
      </c>
      <c r="F24" s="15" t="s">
        <v>155</v>
      </c>
      <c r="G24" s="15"/>
      <c r="H24" s="16">
        <v>25000</v>
      </c>
    </row>
    <row r="25" spans="1:8" x14ac:dyDescent="0.3">
      <c r="A25" s="15"/>
      <c r="B25" s="15"/>
      <c r="C25" s="15"/>
      <c r="D25" s="16"/>
      <c r="E25" s="14">
        <v>46054</v>
      </c>
      <c r="F25" s="15" t="s">
        <v>149</v>
      </c>
      <c r="G25" s="15"/>
      <c r="H25" s="16">
        <v>18000</v>
      </c>
    </row>
    <row r="26" spans="1:8" x14ac:dyDescent="0.3">
      <c r="A26" s="15"/>
      <c r="B26" s="15"/>
      <c r="C26" s="15"/>
      <c r="D26" s="16"/>
      <c r="E26" s="14">
        <v>46091</v>
      </c>
      <c r="F26" s="15" t="s">
        <v>156</v>
      </c>
      <c r="G26" s="15"/>
      <c r="H26" s="16">
        <v>80000</v>
      </c>
    </row>
    <row r="27" spans="1:8" x14ac:dyDescent="0.3">
      <c r="A27" s="15"/>
      <c r="B27" s="15"/>
      <c r="C27" s="15"/>
      <c r="D27" s="16"/>
      <c r="E27" s="14">
        <v>46112</v>
      </c>
      <c r="F27" s="15" t="s">
        <v>157</v>
      </c>
      <c r="G27" s="15"/>
      <c r="H27" s="16">
        <v>425000</v>
      </c>
    </row>
    <row r="28" spans="1:8" x14ac:dyDescent="0.3">
      <c r="A28" s="15"/>
      <c r="B28" s="15"/>
      <c r="C28" s="15"/>
      <c r="D28" s="16"/>
      <c r="E28" s="15"/>
      <c r="F28" s="15"/>
      <c r="G28" s="15"/>
      <c r="H28" s="16"/>
    </row>
    <row r="29" spans="1:8" x14ac:dyDescent="0.3">
      <c r="A29" s="15"/>
      <c r="B29" s="15"/>
      <c r="C29" s="15"/>
      <c r="D29" s="17">
        <f>SUM(D14:D27)</f>
        <v>1063000</v>
      </c>
      <c r="E29" s="19"/>
      <c r="F29" s="19"/>
      <c r="G29" s="19"/>
      <c r="H29" s="17">
        <f>SUM(H14:H27)</f>
        <v>1063000</v>
      </c>
    </row>
    <row r="30" spans="1:8" x14ac:dyDescent="0.3">
      <c r="A30" s="14">
        <v>46113</v>
      </c>
      <c r="B30" s="15" t="s">
        <v>158</v>
      </c>
      <c r="C30" s="15"/>
      <c r="D30" s="17">
        <v>425000</v>
      </c>
      <c r="E30" s="19"/>
      <c r="F30" s="19"/>
      <c r="G30" s="19"/>
      <c r="H30" s="17"/>
    </row>
    <row r="31" spans="1:8" x14ac:dyDescent="0.3">
      <c r="D31" s="9"/>
      <c r="H31" s="9"/>
    </row>
    <row r="32" spans="1:8" x14ac:dyDescent="0.3">
      <c r="D32" s="9"/>
      <c r="H32" s="9"/>
    </row>
    <row r="33" spans="1:8" ht="17.399999999999999" x14ac:dyDescent="0.3">
      <c r="A33" s="10" t="s">
        <v>131</v>
      </c>
      <c r="B33" s="7" t="s">
        <v>159</v>
      </c>
      <c r="C33" s="7"/>
      <c r="D33" s="7"/>
      <c r="E33" s="7"/>
      <c r="F33" s="7"/>
      <c r="G33" s="7"/>
      <c r="H33" s="11" t="s">
        <v>133</v>
      </c>
    </row>
    <row r="34" spans="1:8" ht="15.6" x14ac:dyDescent="0.3">
      <c r="A34" s="12" t="s">
        <v>129</v>
      </c>
      <c r="B34" s="12" t="s">
        <v>38</v>
      </c>
      <c r="C34" s="12" t="s">
        <v>134</v>
      </c>
      <c r="D34" s="13" t="s">
        <v>135</v>
      </c>
      <c r="E34" s="12" t="s">
        <v>129</v>
      </c>
      <c r="F34" s="12" t="s">
        <v>38</v>
      </c>
      <c r="G34" s="12" t="s">
        <v>134</v>
      </c>
      <c r="H34" s="13" t="s">
        <v>135</v>
      </c>
    </row>
    <row r="35" spans="1:8" x14ac:dyDescent="0.3">
      <c r="A35" s="14">
        <v>45750</v>
      </c>
      <c r="B35" s="15" t="s">
        <v>160</v>
      </c>
      <c r="C35" s="15"/>
      <c r="D35" s="18">
        <v>250000</v>
      </c>
      <c r="E35" s="14">
        <v>45772</v>
      </c>
      <c r="F35" s="15" t="s">
        <v>161</v>
      </c>
      <c r="G35" s="15"/>
      <c r="H35" s="18">
        <v>50000</v>
      </c>
    </row>
    <row r="36" spans="1:8" x14ac:dyDescent="0.3">
      <c r="A36" s="14">
        <v>46032</v>
      </c>
      <c r="B36" s="15" t="s">
        <v>162</v>
      </c>
      <c r="C36" s="15"/>
      <c r="D36" s="18">
        <v>6000</v>
      </c>
      <c r="E36" s="14">
        <v>45792</v>
      </c>
      <c r="F36" s="15" t="s">
        <v>163</v>
      </c>
      <c r="G36" s="15"/>
      <c r="H36" s="18">
        <v>120000</v>
      </c>
    </row>
    <row r="37" spans="1:8" x14ac:dyDescent="0.3">
      <c r="A37" s="14"/>
      <c r="B37" s="15"/>
      <c r="C37" s="15"/>
      <c r="D37" s="18"/>
      <c r="E37" s="14">
        <v>46112</v>
      </c>
      <c r="F37" s="15" t="s">
        <v>157</v>
      </c>
      <c r="G37" s="15"/>
      <c r="H37" s="18">
        <v>86000</v>
      </c>
    </row>
    <row r="38" spans="1:8" x14ac:dyDescent="0.3">
      <c r="A38" s="14"/>
      <c r="B38" s="15"/>
      <c r="C38" s="15"/>
      <c r="D38" s="18"/>
      <c r="E38" s="14"/>
      <c r="F38" s="15"/>
      <c r="G38" s="15"/>
      <c r="H38" s="18"/>
    </row>
    <row r="39" spans="1:8" x14ac:dyDescent="0.3">
      <c r="A39" s="14"/>
      <c r="B39" s="15"/>
      <c r="C39" s="15"/>
      <c r="D39" s="17">
        <f>SUM(D35:D38)</f>
        <v>256000</v>
      </c>
      <c r="E39" s="14"/>
      <c r="F39" s="15"/>
      <c r="G39" s="15"/>
      <c r="H39" s="17">
        <f>SUM(H35:H38)</f>
        <v>256000</v>
      </c>
    </row>
    <row r="40" spans="1:8" x14ac:dyDescent="0.3">
      <c r="A40" s="14">
        <v>46113</v>
      </c>
      <c r="B40" s="15" t="s">
        <v>158</v>
      </c>
      <c r="C40" s="15"/>
      <c r="D40" s="17">
        <v>86000</v>
      </c>
      <c r="E40" s="14"/>
      <c r="F40" s="15"/>
      <c r="G40" s="15"/>
      <c r="H40" s="18"/>
    </row>
    <row r="41" spans="1:8" x14ac:dyDescent="0.3">
      <c r="A41" s="20"/>
      <c r="D41" s="21"/>
      <c r="E41" s="20"/>
      <c r="H41" s="21"/>
    </row>
    <row r="42" spans="1:8" x14ac:dyDescent="0.3">
      <c r="A42" s="20"/>
      <c r="D42" s="21"/>
      <c r="E42" s="20"/>
      <c r="H42" s="21"/>
    </row>
    <row r="43" spans="1:8" ht="17.399999999999999" x14ac:dyDescent="0.3">
      <c r="A43" s="10" t="s">
        <v>131</v>
      </c>
      <c r="B43" s="7" t="s">
        <v>164</v>
      </c>
      <c r="C43" s="7"/>
      <c r="D43" s="7"/>
      <c r="E43" s="7"/>
      <c r="F43" s="7"/>
      <c r="G43" s="7"/>
      <c r="H43" s="11" t="s">
        <v>133</v>
      </c>
    </row>
    <row r="44" spans="1:8" ht="15.6" x14ac:dyDescent="0.3">
      <c r="A44" s="12" t="s">
        <v>129</v>
      </c>
      <c r="B44" s="12" t="s">
        <v>38</v>
      </c>
      <c r="C44" s="12" t="s">
        <v>134</v>
      </c>
      <c r="D44" s="13" t="s">
        <v>135</v>
      </c>
      <c r="E44" s="12" t="s">
        <v>129</v>
      </c>
      <c r="F44" s="12" t="s">
        <v>38</v>
      </c>
      <c r="G44" s="12" t="s">
        <v>134</v>
      </c>
      <c r="H44" s="13" t="s">
        <v>135</v>
      </c>
    </row>
    <row r="45" spans="1:8" x14ac:dyDescent="0.3">
      <c r="A45" s="14">
        <v>45752</v>
      </c>
      <c r="B45" s="15" t="s">
        <v>160</v>
      </c>
      <c r="C45" s="15"/>
      <c r="D45" s="18">
        <v>100000</v>
      </c>
      <c r="E45" s="14">
        <v>46112</v>
      </c>
      <c r="F45" s="15" t="s">
        <v>157</v>
      </c>
      <c r="G45" s="15"/>
      <c r="H45" s="18">
        <v>400000</v>
      </c>
    </row>
    <row r="46" spans="1:8" x14ac:dyDescent="0.3">
      <c r="A46" s="14">
        <v>45755</v>
      </c>
      <c r="B46" s="15" t="s">
        <v>165</v>
      </c>
      <c r="C46" s="15"/>
      <c r="D46" s="18">
        <v>150000</v>
      </c>
      <c r="E46" s="14"/>
      <c r="F46" s="15"/>
      <c r="G46" s="15"/>
      <c r="H46" s="18"/>
    </row>
    <row r="47" spans="1:8" x14ac:dyDescent="0.3">
      <c r="A47" s="14">
        <v>45809</v>
      </c>
      <c r="B47" s="15" t="s">
        <v>160</v>
      </c>
      <c r="C47" s="15"/>
      <c r="D47" s="16">
        <v>60000</v>
      </c>
      <c r="E47" s="14"/>
      <c r="F47" s="15"/>
      <c r="G47" s="15"/>
      <c r="H47" s="18"/>
    </row>
    <row r="48" spans="1:8" x14ac:dyDescent="0.3">
      <c r="A48" s="14">
        <v>45901</v>
      </c>
      <c r="B48" s="15" t="s">
        <v>166</v>
      </c>
      <c r="C48" s="15"/>
      <c r="D48" s="18">
        <v>90000</v>
      </c>
      <c r="E48" s="14"/>
      <c r="F48" s="15"/>
      <c r="G48" s="15"/>
      <c r="H48" s="18"/>
    </row>
    <row r="49" spans="1:8" x14ac:dyDescent="0.3">
      <c r="A49" s="14"/>
      <c r="B49" s="15"/>
      <c r="C49" s="15"/>
      <c r="D49" s="18"/>
      <c r="E49" s="14"/>
      <c r="F49" s="15"/>
      <c r="G49" s="15"/>
      <c r="H49" s="18"/>
    </row>
    <row r="50" spans="1:8" x14ac:dyDescent="0.3">
      <c r="A50" s="14"/>
      <c r="B50" s="15"/>
      <c r="C50" s="15"/>
      <c r="D50" s="17">
        <f>SUM(D45:D49)</f>
        <v>400000</v>
      </c>
      <c r="E50" s="22"/>
      <c r="F50" s="19"/>
      <c r="G50" s="19"/>
      <c r="H50" s="17">
        <v>400000</v>
      </c>
    </row>
    <row r="51" spans="1:8" x14ac:dyDescent="0.3">
      <c r="A51" s="14">
        <v>46113</v>
      </c>
      <c r="B51" s="15" t="s">
        <v>158</v>
      </c>
      <c r="C51" s="15"/>
      <c r="D51" s="17">
        <v>400000</v>
      </c>
      <c r="E51" s="19"/>
      <c r="F51" s="19"/>
      <c r="G51" s="19"/>
      <c r="H51" s="17"/>
    </row>
    <row r="52" spans="1:8" x14ac:dyDescent="0.3">
      <c r="D52" s="9"/>
      <c r="H52" s="9"/>
    </row>
    <row r="53" spans="1:8" x14ac:dyDescent="0.3">
      <c r="D53" s="9"/>
      <c r="H53" s="9"/>
    </row>
    <row r="54" spans="1:8" ht="17.399999999999999" x14ac:dyDescent="0.3">
      <c r="A54" s="10" t="s">
        <v>131</v>
      </c>
      <c r="B54" s="7" t="s">
        <v>167</v>
      </c>
      <c r="C54" s="7"/>
      <c r="D54" s="7"/>
      <c r="E54" s="7"/>
      <c r="F54" s="7"/>
      <c r="G54" s="7"/>
      <c r="H54" s="11" t="s">
        <v>133</v>
      </c>
    </row>
    <row r="55" spans="1:8" ht="15.6" x14ac:dyDescent="0.3">
      <c r="A55" s="12" t="s">
        <v>129</v>
      </c>
      <c r="B55" s="12" t="s">
        <v>38</v>
      </c>
      <c r="C55" s="12" t="s">
        <v>134</v>
      </c>
      <c r="D55" s="13" t="s">
        <v>135</v>
      </c>
      <c r="E55" s="12" t="s">
        <v>129</v>
      </c>
      <c r="F55" s="12" t="s">
        <v>38</v>
      </c>
      <c r="G55" s="12" t="s">
        <v>134</v>
      </c>
      <c r="H55" s="13" t="s">
        <v>135</v>
      </c>
    </row>
    <row r="56" spans="1:8" x14ac:dyDescent="0.3">
      <c r="A56" s="14">
        <v>45782</v>
      </c>
      <c r="B56" s="15" t="s">
        <v>168</v>
      </c>
      <c r="C56" s="15"/>
      <c r="D56" s="18">
        <v>15000</v>
      </c>
      <c r="E56" s="14">
        <v>45755</v>
      </c>
      <c r="F56" s="15" t="s">
        <v>143</v>
      </c>
      <c r="G56" s="15"/>
      <c r="H56" s="18">
        <v>150000</v>
      </c>
    </row>
    <row r="57" spans="1:8" x14ac:dyDescent="0.3">
      <c r="A57" s="14">
        <v>45792</v>
      </c>
      <c r="B57" s="15" t="s">
        <v>169</v>
      </c>
      <c r="C57" s="15"/>
      <c r="D57" s="18">
        <v>120000</v>
      </c>
      <c r="E57" s="14"/>
      <c r="F57" s="15"/>
      <c r="G57" s="15"/>
      <c r="H57" s="16"/>
    </row>
    <row r="58" spans="1:8" x14ac:dyDescent="0.3">
      <c r="A58" s="14">
        <v>46112</v>
      </c>
      <c r="B58" s="15" t="s">
        <v>136</v>
      </c>
      <c r="C58" s="15"/>
      <c r="D58" s="18">
        <v>15000</v>
      </c>
      <c r="E58" s="14"/>
      <c r="F58" s="15"/>
      <c r="G58" s="15"/>
      <c r="H58" s="16"/>
    </row>
    <row r="59" spans="1:8" x14ac:dyDescent="0.3">
      <c r="A59" s="14"/>
      <c r="B59" s="15"/>
      <c r="C59" s="15"/>
      <c r="D59" s="18"/>
      <c r="E59" s="14"/>
      <c r="F59" s="15"/>
      <c r="G59" s="15"/>
      <c r="H59" s="18"/>
    </row>
    <row r="60" spans="1:8" x14ac:dyDescent="0.3">
      <c r="A60" s="14"/>
      <c r="B60" s="15"/>
      <c r="C60" s="15"/>
      <c r="D60" s="17">
        <f>SUM(D56:D59)</f>
        <v>150000</v>
      </c>
      <c r="E60" s="22"/>
      <c r="F60" s="19"/>
      <c r="G60" s="19"/>
      <c r="H60" s="17">
        <f>SUM(H56:H59)</f>
        <v>150000</v>
      </c>
    </row>
    <row r="61" spans="1:8" x14ac:dyDescent="0.3">
      <c r="A61" s="15"/>
      <c r="B61" s="15"/>
      <c r="C61" s="15"/>
      <c r="D61" s="16"/>
      <c r="E61" s="14">
        <v>46113</v>
      </c>
      <c r="F61" s="15" t="s">
        <v>170</v>
      </c>
      <c r="G61" s="15"/>
      <c r="H61" s="17">
        <f>D58</f>
        <v>15000</v>
      </c>
    </row>
    <row r="62" spans="1:8" x14ac:dyDescent="0.3">
      <c r="D62" s="9"/>
      <c r="H62" s="9"/>
    </row>
    <row r="63" spans="1:8" x14ac:dyDescent="0.3">
      <c r="D63" s="9"/>
      <c r="H63" s="9"/>
    </row>
    <row r="64" spans="1:8" ht="17.399999999999999" x14ac:dyDescent="0.3">
      <c r="A64" s="10" t="s">
        <v>131</v>
      </c>
      <c r="B64" s="7" t="s">
        <v>171</v>
      </c>
      <c r="C64" s="7"/>
      <c r="D64" s="7"/>
      <c r="E64" s="7"/>
      <c r="F64" s="7"/>
      <c r="G64" s="7"/>
      <c r="H64" s="11" t="s">
        <v>133</v>
      </c>
    </row>
    <row r="65" spans="1:8" ht="15.6" x14ac:dyDescent="0.3">
      <c r="A65" s="12" t="s">
        <v>129</v>
      </c>
      <c r="B65" s="12" t="s">
        <v>38</v>
      </c>
      <c r="C65" s="12" t="s">
        <v>134</v>
      </c>
      <c r="D65" s="13" t="s">
        <v>135</v>
      </c>
      <c r="E65" s="12" t="s">
        <v>129</v>
      </c>
      <c r="F65" s="12" t="s">
        <v>38</v>
      </c>
      <c r="G65" s="12" t="s">
        <v>134</v>
      </c>
      <c r="H65" s="13" t="s">
        <v>135</v>
      </c>
    </row>
    <row r="66" spans="1:8" x14ac:dyDescent="0.3">
      <c r="A66" s="14">
        <v>46112</v>
      </c>
      <c r="B66" s="15" t="s">
        <v>136</v>
      </c>
      <c r="C66" s="15"/>
      <c r="D66" s="18">
        <v>540000</v>
      </c>
      <c r="E66" s="14">
        <v>45759</v>
      </c>
      <c r="F66" s="15" t="s">
        <v>137</v>
      </c>
      <c r="G66" s="15"/>
      <c r="H66" s="18">
        <v>80000</v>
      </c>
    </row>
    <row r="67" spans="1:8" x14ac:dyDescent="0.3">
      <c r="A67" s="14"/>
      <c r="B67" s="15"/>
      <c r="C67" s="15"/>
      <c r="D67" s="18"/>
      <c r="E67" s="14">
        <v>45762</v>
      </c>
      <c r="F67" s="15" t="s">
        <v>172</v>
      </c>
      <c r="G67" s="15"/>
      <c r="H67" s="18">
        <v>120000</v>
      </c>
    </row>
    <row r="68" spans="1:8" x14ac:dyDescent="0.3">
      <c r="A68" s="14"/>
      <c r="B68" s="15"/>
      <c r="C68" s="15"/>
      <c r="D68" s="18"/>
      <c r="E68" s="14">
        <v>45823</v>
      </c>
      <c r="F68" s="15" t="s">
        <v>137</v>
      </c>
      <c r="G68" s="15"/>
      <c r="H68" s="18">
        <v>90000</v>
      </c>
    </row>
    <row r="69" spans="1:8" x14ac:dyDescent="0.3">
      <c r="A69" s="14"/>
      <c r="B69" s="15"/>
      <c r="C69" s="15"/>
      <c r="D69" s="18"/>
      <c r="E69" s="14">
        <v>45915</v>
      </c>
      <c r="F69" s="15" t="s">
        <v>173</v>
      </c>
      <c r="G69" s="15"/>
      <c r="H69" s="18">
        <v>140000</v>
      </c>
    </row>
    <row r="70" spans="1:8" x14ac:dyDescent="0.3">
      <c r="A70" s="14"/>
      <c r="B70" s="15"/>
      <c r="C70" s="15"/>
      <c r="D70" s="18"/>
      <c r="E70" s="14">
        <v>46106</v>
      </c>
      <c r="F70" s="15" t="s">
        <v>137</v>
      </c>
      <c r="G70" s="15"/>
      <c r="H70" s="18">
        <v>110000</v>
      </c>
    </row>
    <row r="71" spans="1:8" x14ac:dyDescent="0.3">
      <c r="A71" s="15"/>
      <c r="B71" s="15"/>
      <c r="C71" s="15"/>
      <c r="D71" s="18"/>
      <c r="E71" s="15"/>
      <c r="F71" s="15"/>
      <c r="G71" s="15"/>
      <c r="H71" s="18"/>
    </row>
    <row r="72" spans="1:8" x14ac:dyDescent="0.3">
      <c r="A72" s="15"/>
      <c r="B72" s="15"/>
      <c r="C72" s="15"/>
      <c r="D72" s="17">
        <v>540000</v>
      </c>
      <c r="E72" s="15"/>
      <c r="F72" s="15"/>
      <c r="G72" s="15"/>
      <c r="H72" s="17">
        <f>SUM(H66:H71)</f>
        <v>540000</v>
      </c>
    </row>
    <row r="73" spans="1:8" x14ac:dyDescent="0.3">
      <c r="A73" s="15"/>
      <c r="B73" s="15"/>
      <c r="C73" s="15"/>
      <c r="D73" s="18"/>
      <c r="E73" s="14">
        <v>46113</v>
      </c>
      <c r="F73" s="15" t="s">
        <v>138</v>
      </c>
      <c r="G73" s="15"/>
      <c r="H73" s="17">
        <v>540000</v>
      </c>
    </row>
    <row r="74" spans="1:8" x14ac:dyDescent="0.3">
      <c r="D74" s="9"/>
      <c r="H74" s="9"/>
    </row>
    <row r="75" spans="1:8" x14ac:dyDescent="0.3">
      <c r="D75" s="9"/>
      <c r="H75" s="9"/>
    </row>
    <row r="76" spans="1:8" ht="17.399999999999999" x14ac:dyDescent="0.3">
      <c r="A76" s="10" t="s">
        <v>131</v>
      </c>
      <c r="B76" s="7" t="s">
        <v>174</v>
      </c>
      <c r="C76" s="7"/>
      <c r="D76" s="7"/>
      <c r="E76" s="7"/>
      <c r="F76" s="7"/>
      <c r="G76" s="7"/>
      <c r="H76" s="11" t="s">
        <v>133</v>
      </c>
    </row>
    <row r="77" spans="1:8" ht="15.6" x14ac:dyDescent="0.3">
      <c r="A77" s="12" t="s">
        <v>129</v>
      </c>
      <c r="B77" s="12" t="s">
        <v>38</v>
      </c>
      <c r="C77" s="12" t="s">
        <v>134</v>
      </c>
      <c r="D77" s="13" t="s">
        <v>135</v>
      </c>
      <c r="E77" s="12" t="s">
        <v>129</v>
      </c>
      <c r="F77" s="12" t="s">
        <v>38</v>
      </c>
      <c r="G77" s="12" t="s">
        <v>134</v>
      </c>
      <c r="H77" s="13" t="s">
        <v>135</v>
      </c>
    </row>
    <row r="78" spans="1:8" x14ac:dyDescent="0.3">
      <c r="A78" s="14">
        <v>45762</v>
      </c>
      <c r="B78" s="15" t="s">
        <v>142</v>
      </c>
      <c r="C78" s="15"/>
      <c r="D78" s="18">
        <v>120000</v>
      </c>
      <c r="E78" s="14">
        <v>45777</v>
      </c>
      <c r="F78" s="15" t="s">
        <v>137</v>
      </c>
      <c r="G78" s="15"/>
      <c r="H78" s="18">
        <v>70000</v>
      </c>
    </row>
    <row r="79" spans="1:8" x14ac:dyDescent="0.3">
      <c r="A79" s="14"/>
      <c r="B79" s="15"/>
      <c r="C79" s="15"/>
      <c r="D79" s="18"/>
      <c r="E79" s="14">
        <v>45787</v>
      </c>
      <c r="F79" s="15" t="s">
        <v>175</v>
      </c>
      <c r="G79" s="15"/>
      <c r="H79" s="18">
        <v>8000</v>
      </c>
    </row>
    <row r="80" spans="1:8" x14ac:dyDescent="0.3">
      <c r="A80" s="14"/>
      <c r="B80" s="15"/>
      <c r="C80" s="15"/>
      <c r="D80" s="18"/>
      <c r="E80" s="14">
        <v>46112</v>
      </c>
      <c r="F80" s="15" t="s">
        <v>157</v>
      </c>
      <c r="G80" s="15"/>
      <c r="H80" s="18">
        <v>42000</v>
      </c>
    </row>
    <row r="81" spans="1:8" x14ac:dyDescent="0.3">
      <c r="A81" s="14"/>
      <c r="B81" s="15"/>
      <c r="C81" s="15"/>
      <c r="D81" s="9"/>
      <c r="E81" s="14"/>
      <c r="F81" s="15"/>
      <c r="G81" s="15"/>
      <c r="H81" s="18"/>
    </row>
    <row r="82" spans="1:8" x14ac:dyDescent="0.3">
      <c r="A82" s="14"/>
      <c r="B82" s="15"/>
      <c r="C82" s="15"/>
      <c r="D82" s="17">
        <f>SUM(D78:D80)</f>
        <v>120000</v>
      </c>
      <c r="E82" s="22"/>
      <c r="F82" s="19"/>
      <c r="G82" s="19"/>
      <c r="H82" s="17">
        <f>SUM(H78:H81)</f>
        <v>120000</v>
      </c>
    </row>
    <row r="83" spans="1:8" x14ac:dyDescent="0.3">
      <c r="A83" s="14">
        <v>46113</v>
      </c>
      <c r="B83" s="15" t="s">
        <v>158</v>
      </c>
      <c r="C83" s="15"/>
      <c r="D83" s="17">
        <v>42000</v>
      </c>
      <c r="E83" s="19"/>
      <c r="F83" s="19"/>
      <c r="G83" s="19"/>
      <c r="H83" s="17"/>
    </row>
    <row r="84" spans="1:8" x14ac:dyDescent="0.3">
      <c r="D84" s="9"/>
      <c r="H84" s="9"/>
    </row>
    <row r="85" spans="1:8" x14ac:dyDescent="0.3">
      <c r="D85" s="9"/>
      <c r="H85" s="9"/>
    </row>
    <row r="86" spans="1:8" ht="17.399999999999999" x14ac:dyDescent="0.3">
      <c r="A86" s="10" t="s">
        <v>131</v>
      </c>
      <c r="B86" s="7" t="s">
        <v>176</v>
      </c>
      <c r="C86" s="7"/>
      <c r="D86" s="7"/>
      <c r="E86" s="7"/>
      <c r="F86" s="7"/>
      <c r="G86" s="7"/>
      <c r="H86" s="11" t="s">
        <v>133</v>
      </c>
    </row>
    <row r="87" spans="1:8" ht="15.6" x14ac:dyDescent="0.3">
      <c r="A87" s="12" t="s">
        <v>129</v>
      </c>
      <c r="B87" s="12" t="s">
        <v>38</v>
      </c>
      <c r="C87" s="12" t="s">
        <v>134</v>
      </c>
      <c r="D87" s="13" t="s">
        <v>135</v>
      </c>
      <c r="E87" s="12" t="s">
        <v>129</v>
      </c>
      <c r="F87" s="12" t="s">
        <v>38</v>
      </c>
      <c r="G87" s="12" t="s">
        <v>134</v>
      </c>
      <c r="H87" s="13" t="s">
        <v>135</v>
      </c>
    </row>
    <row r="88" spans="1:8" x14ac:dyDescent="0.3">
      <c r="A88" s="14">
        <v>45767</v>
      </c>
      <c r="B88" s="15" t="s">
        <v>160</v>
      </c>
      <c r="C88" s="15"/>
      <c r="D88" s="18">
        <v>12000</v>
      </c>
      <c r="E88" s="14">
        <v>46112</v>
      </c>
      <c r="F88" s="15" t="s">
        <v>157</v>
      </c>
      <c r="G88" s="15"/>
      <c r="H88" s="18">
        <v>12000</v>
      </c>
    </row>
    <row r="89" spans="1:8" x14ac:dyDescent="0.3">
      <c r="A89" s="14"/>
      <c r="B89" s="15"/>
      <c r="C89" s="15"/>
      <c r="D89" s="18"/>
      <c r="E89" s="14"/>
      <c r="F89" s="15"/>
      <c r="G89" s="15"/>
      <c r="H89" s="18"/>
    </row>
    <row r="90" spans="1:8" x14ac:dyDescent="0.3">
      <c r="A90" s="14"/>
      <c r="B90" s="15"/>
      <c r="C90" s="15"/>
      <c r="D90" s="17">
        <v>12000</v>
      </c>
      <c r="E90" s="22"/>
      <c r="F90" s="19"/>
      <c r="G90" s="19"/>
      <c r="H90" s="17">
        <v>12000</v>
      </c>
    </row>
    <row r="91" spans="1:8" x14ac:dyDescent="0.3">
      <c r="A91" s="14">
        <v>46113</v>
      </c>
      <c r="B91" s="15" t="s">
        <v>158</v>
      </c>
      <c r="C91" s="15"/>
      <c r="D91" s="17">
        <v>12000</v>
      </c>
      <c r="E91" s="22"/>
      <c r="F91" s="19"/>
      <c r="G91" s="19"/>
      <c r="H91" s="17"/>
    </row>
    <row r="92" spans="1:8" x14ac:dyDescent="0.3">
      <c r="D92" s="9"/>
      <c r="H92" s="9"/>
    </row>
    <row r="93" spans="1:8" x14ac:dyDescent="0.3">
      <c r="D93" s="9"/>
      <c r="H93" s="9"/>
    </row>
    <row r="94" spans="1:8" ht="17.399999999999999" x14ac:dyDescent="0.3">
      <c r="A94" s="10" t="s">
        <v>131</v>
      </c>
      <c r="B94" s="7" t="s">
        <v>177</v>
      </c>
      <c r="C94" s="7"/>
      <c r="D94" s="7"/>
      <c r="E94" s="7"/>
      <c r="F94" s="7"/>
      <c r="G94" s="7"/>
      <c r="H94" s="11" t="s">
        <v>133</v>
      </c>
    </row>
    <row r="95" spans="1:8" ht="15.6" x14ac:dyDescent="0.3">
      <c r="A95" s="12" t="s">
        <v>129</v>
      </c>
      <c r="B95" s="12" t="s">
        <v>38</v>
      </c>
      <c r="C95" s="12" t="s">
        <v>134</v>
      </c>
      <c r="D95" s="13" t="s">
        <v>135</v>
      </c>
      <c r="E95" s="12" t="s">
        <v>129</v>
      </c>
      <c r="F95" s="12" t="s">
        <v>38</v>
      </c>
      <c r="G95" s="12" t="s">
        <v>134</v>
      </c>
      <c r="H95" s="13" t="s">
        <v>135</v>
      </c>
    </row>
    <row r="96" spans="1:8" x14ac:dyDescent="0.3">
      <c r="A96" s="14">
        <v>45769</v>
      </c>
      <c r="B96" s="15" t="s">
        <v>160</v>
      </c>
      <c r="C96" s="15"/>
      <c r="D96" s="18">
        <v>8000</v>
      </c>
      <c r="E96" s="14">
        <v>46112</v>
      </c>
      <c r="F96" s="15" t="s">
        <v>157</v>
      </c>
      <c r="G96" s="15"/>
      <c r="H96" s="18">
        <v>8000</v>
      </c>
    </row>
    <row r="97" spans="1:8" x14ac:dyDescent="0.3">
      <c r="A97" s="14"/>
      <c r="B97" s="15"/>
      <c r="C97" s="15"/>
      <c r="D97" s="18"/>
      <c r="E97" s="14"/>
      <c r="F97" s="15"/>
      <c r="G97" s="15"/>
      <c r="H97" s="18"/>
    </row>
    <row r="98" spans="1:8" x14ac:dyDescent="0.3">
      <c r="A98" s="14"/>
      <c r="B98" s="15"/>
      <c r="C98" s="15"/>
      <c r="D98" s="17">
        <v>8000</v>
      </c>
      <c r="E98" s="22"/>
      <c r="F98" s="19"/>
      <c r="G98" s="19"/>
      <c r="H98" s="17">
        <v>8000</v>
      </c>
    </row>
    <row r="99" spans="1:8" x14ac:dyDescent="0.3">
      <c r="A99" s="14">
        <v>46113</v>
      </c>
      <c r="B99" s="15" t="s">
        <v>158</v>
      </c>
      <c r="C99" s="15"/>
      <c r="D99" s="17">
        <v>8000</v>
      </c>
      <c r="E99" s="22"/>
      <c r="F99" s="19"/>
      <c r="G99" s="19"/>
      <c r="H99" s="17"/>
    </row>
    <row r="100" spans="1:8" x14ac:dyDescent="0.3">
      <c r="D100" s="9"/>
      <c r="H100" s="9"/>
    </row>
    <row r="101" spans="1:8" x14ac:dyDescent="0.3">
      <c r="D101" s="9"/>
      <c r="H101" s="9"/>
    </row>
    <row r="102" spans="1:8" ht="17.399999999999999" x14ac:dyDescent="0.3">
      <c r="A102" s="10" t="s">
        <v>131</v>
      </c>
      <c r="B102" s="7" t="s">
        <v>178</v>
      </c>
      <c r="C102" s="7"/>
      <c r="D102" s="7"/>
      <c r="E102" s="7"/>
      <c r="F102" s="7"/>
      <c r="G102" s="7"/>
      <c r="H102" s="11" t="s">
        <v>133</v>
      </c>
    </row>
    <row r="103" spans="1:8" ht="15.6" x14ac:dyDescent="0.3">
      <c r="A103" s="12" t="s">
        <v>129</v>
      </c>
      <c r="B103" s="12" t="s">
        <v>38</v>
      </c>
      <c r="C103" s="12" t="s">
        <v>134</v>
      </c>
      <c r="D103" s="13" t="s">
        <v>135</v>
      </c>
      <c r="E103" s="12" t="s">
        <v>129</v>
      </c>
      <c r="F103" s="12" t="s">
        <v>38</v>
      </c>
      <c r="G103" s="12" t="s">
        <v>134</v>
      </c>
      <c r="H103" s="13" t="s">
        <v>135</v>
      </c>
    </row>
    <row r="104" spans="1:8" x14ac:dyDescent="0.3">
      <c r="A104" s="14">
        <v>45772</v>
      </c>
      <c r="B104" s="15" t="s">
        <v>169</v>
      </c>
      <c r="C104" s="15"/>
      <c r="D104" s="18">
        <v>50000</v>
      </c>
      <c r="E104" s="14">
        <v>46112</v>
      </c>
      <c r="F104" s="15" t="s">
        <v>157</v>
      </c>
      <c r="G104" s="15"/>
      <c r="H104" s="18">
        <v>50000</v>
      </c>
    </row>
    <row r="105" spans="1:8" x14ac:dyDescent="0.3">
      <c r="A105" s="14"/>
      <c r="B105" s="15"/>
      <c r="C105" s="15"/>
      <c r="D105" s="18"/>
      <c r="E105" s="14"/>
      <c r="F105" s="15"/>
      <c r="G105" s="15"/>
      <c r="H105" s="18"/>
    </row>
    <row r="106" spans="1:8" x14ac:dyDescent="0.3">
      <c r="A106" s="14"/>
      <c r="B106" s="15"/>
      <c r="C106" s="15"/>
      <c r="D106" s="17">
        <v>50000</v>
      </c>
      <c r="E106" s="22"/>
      <c r="F106" s="19"/>
      <c r="G106" s="19"/>
      <c r="H106" s="17">
        <v>50000</v>
      </c>
    </row>
    <row r="107" spans="1:8" x14ac:dyDescent="0.3">
      <c r="A107" s="14">
        <v>46113</v>
      </c>
      <c r="B107" s="15" t="s">
        <v>158</v>
      </c>
      <c r="C107" s="15"/>
      <c r="D107" s="17">
        <v>50000</v>
      </c>
      <c r="E107" s="22"/>
      <c r="F107" s="19"/>
      <c r="G107" s="19"/>
      <c r="H107" s="17"/>
    </row>
    <row r="108" spans="1:8" x14ac:dyDescent="0.3">
      <c r="D108" s="9"/>
      <c r="H108" s="9"/>
    </row>
    <row r="109" spans="1:8" x14ac:dyDescent="0.3">
      <c r="D109" s="9"/>
      <c r="H109" s="9"/>
    </row>
    <row r="110" spans="1:8" ht="17.399999999999999" x14ac:dyDescent="0.3">
      <c r="A110" s="10" t="s">
        <v>131</v>
      </c>
      <c r="B110" s="7" t="s">
        <v>179</v>
      </c>
      <c r="C110" s="7"/>
      <c r="D110" s="7"/>
      <c r="E110" s="7"/>
      <c r="F110" s="7"/>
      <c r="G110" s="7"/>
      <c r="H110" s="11" t="s">
        <v>133</v>
      </c>
    </row>
    <row r="111" spans="1:8" ht="15.6" x14ac:dyDescent="0.3">
      <c r="A111" s="12" t="s">
        <v>129</v>
      </c>
      <c r="B111" s="12" t="s">
        <v>38</v>
      </c>
      <c r="C111" s="12" t="s">
        <v>134</v>
      </c>
      <c r="D111" s="13" t="s">
        <v>135</v>
      </c>
      <c r="E111" s="12" t="s">
        <v>129</v>
      </c>
      <c r="F111" s="12" t="s">
        <v>38</v>
      </c>
      <c r="G111" s="12" t="s">
        <v>134</v>
      </c>
      <c r="H111" s="13" t="s">
        <v>135</v>
      </c>
    </row>
    <row r="112" spans="1:8" x14ac:dyDescent="0.3">
      <c r="A112" s="14">
        <v>46112</v>
      </c>
      <c r="B112" s="15" t="s">
        <v>136</v>
      </c>
      <c r="C112" s="15"/>
      <c r="D112" s="18">
        <v>15000</v>
      </c>
      <c r="E112" s="14">
        <v>45782</v>
      </c>
      <c r="F112" s="15" t="s">
        <v>180</v>
      </c>
      <c r="G112" s="15"/>
      <c r="H112" s="18">
        <v>15000</v>
      </c>
    </row>
    <row r="113" spans="1:8" x14ac:dyDescent="0.3">
      <c r="A113" s="14"/>
      <c r="B113" s="15"/>
      <c r="C113" s="15"/>
      <c r="D113" s="18"/>
      <c r="E113" s="14"/>
      <c r="F113" s="15"/>
      <c r="G113" s="15"/>
      <c r="H113" s="18"/>
    </row>
    <row r="114" spans="1:8" x14ac:dyDescent="0.3">
      <c r="A114" s="14"/>
      <c r="B114" s="15"/>
      <c r="C114" s="15"/>
      <c r="D114" s="17">
        <v>15000</v>
      </c>
      <c r="E114" s="14"/>
      <c r="F114" s="15"/>
      <c r="G114" s="15"/>
      <c r="H114" s="17">
        <v>15000</v>
      </c>
    </row>
    <row r="115" spans="1:8" x14ac:dyDescent="0.3">
      <c r="A115" s="14"/>
      <c r="B115" s="15"/>
      <c r="C115" s="15"/>
      <c r="D115" s="18"/>
      <c r="E115" s="14">
        <v>46113</v>
      </c>
      <c r="F115" s="15" t="s">
        <v>138</v>
      </c>
      <c r="G115" s="15"/>
      <c r="H115" s="17">
        <v>15000</v>
      </c>
    </row>
    <row r="116" spans="1:8" x14ac:dyDescent="0.3">
      <c r="D116" s="9"/>
      <c r="H116" s="9"/>
    </row>
    <row r="117" spans="1:8" x14ac:dyDescent="0.3">
      <c r="D117" s="9"/>
      <c r="H117" s="9"/>
    </row>
    <row r="118" spans="1:8" ht="17.399999999999999" x14ac:dyDescent="0.3">
      <c r="A118" s="10" t="s">
        <v>131</v>
      </c>
      <c r="B118" s="7" t="s">
        <v>181</v>
      </c>
      <c r="C118" s="7"/>
      <c r="D118" s="7"/>
      <c r="E118" s="7"/>
      <c r="F118" s="7"/>
      <c r="G118" s="7"/>
      <c r="H118" s="11" t="s">
        <v>133</v>
      </c>
    </row>
    <row r="119" spans="1:8" ht="15.6" x14ac:dyDescent="0.3">
      <c r="A119" s="12" t="s">
        <v>129</v>
      </c>
      <c r="B119" s="12" t="s">
        <v>38</v>
      </c>
      <c r="C119" s="12" t="s">
        <v>134</v>
      </c>
      <c r="D119" s="13" t="s">
        <v>135</v>
      </c>
      <c r="E119" s="12" t="s">
        <v>129</v>
      </c>
      <c r="F119" s="12" t="s">
        <v>38</v>
      </c>
      <c r="G119" s="12" t="s">
        <v>134</v>
      </c>
      <c r="H119" s="13" t="s">
        <v>135</v>
      </c>
    </row>
    <row r="120" spans="1:8" x14ac:dyDescent="0.3">
      <c r="A120" s="14">
        <v>45787</v>
      </c>
      <c r="B120" s="15" t="s">
        <v>182</v>
      </c>
      <c r="C120" s="15"/>
      <c r="D120" s="18">
        <v>8000</v>
      </c>
      <c r="E120" s="14">
        <v>46112</v>
      </c>
      <c r="F120" s="15" t="s">
        <v>157</v>
      </c>
      <c r="G120" s="15"/>
      <c r="H120" s="18">
        <v>8000</v>
      </c>
    </row>
    <row r="121" spans="1:8" x14ac:dyDescent="0.3">
      <c r="A121" s="14"/>
      <c r="B121" s="15"/>
      <c r="C121" s="15"/>
      <c r="D121" s="18"/>
      <c r="E121" s="14"/>
      <c r="F121" s="15"/>
      <c r="G121" s="15"/>
      <c r="H121" s="18"/>
    </row>
    <row r="122" spans="1:8" x14ac:dyDescent="0.3">
      <c r="A122" s="14"/>
      <c r="B122" s="15"/>
      <c r="C122" s="15"/>
      <c r="D122" s="17">
        <v>8000</v>
      </c>
      <c r="E122" s="22"/>
      <c r="F122" s="19"/>
      <c r="G122" s="19"/>
      <c r="H122" s="17">
        <v>8000</v>
      </c>
    </row>
    <row r="123" spans="1:8" x14ac:dyDescent="0.3">
      <c r="A123" s="14">
        <v>46113</v>
      </c>
      <c r="B123" s="15" t="s">
        <v>158</v>
      </c>
      <c r="C123" s="15"/>
      <c r="D123" s="17">
        <v>8000</v>
      </c>
      <c r="E123" s="22"/>
      <c r="F123" s="19"/>
      <c r="G123" s="19"/>
      <c r="H123" s="17"/>
    </row>
    <row r="124" spans="1:8" x14ac:dyDescent="0.3">
      <c r="D124" s="9"/>
      <c r="H124" s="9"/>
    </row>
    <row r="125" spans="1:8" x14ac:dyDescent="0.3">
      <c r="D125" s="9"/>
      <c r="H125" s="9"/>
    </row>
    <row r="126" spans="1:8" ht="17.399999999999999" x14ac:dyDescent="0.3">
      <c r="A126" s="10" t="s">
        <v>131</v>
      </c>
      <c r="B126" s="7" t="s">
        <v>183</v>
      </c>
      <c r="C126" s="7"/>
      <c r="D126" s="7"/>
      <c r="E126" s="7"/>
      <c r="F126" s="7"/>
      <c r="G126" s="7"/>
      <c r="H126" s="11" t="s">
        <v>133</v>
      </c>
    </row>
    <row r="127" spans="1:8" ht="15.6" x14ac:dyDescent="0.3">
      <c r="A127" s="12" t="s">
        <v>129</v>
      </c>
      <c r="B127" s="12" t="s">
        <v>38</v>
      </c>
      <c r="C127" s="12" t="s">
        <v>134</v>
      </c>
      <c r="D127" s="13" t="s">
        <v>135</v>
      </c>
      <c r="E127" s="12" t="s">
        <v>129</v>
      </c>
      <c r="F127" s="12" t="s">
        <v>38</v>
      </c>
      <c r="G127" s="12" t="s">
        <v>134</v>
      </c>
      <c r="H127" s="13" t="s">
        <v>135</v>
      </c>
    </row>
    <row r="128" spans="1:8" x14ac:dyDescent="0.3">
      <c r="A128" s="14">
        <v>45843</v>
      </c>
      <c r="B128" s="15" t="s">
        <v>160</v>
      </c>
      <c r="C128" s="15"/>
      <c r="D128" s="18">
        <v>18000</v>
      </c>
      <c r="E128" s="14">
        <v>46112</v>
      </c>
      <c r="F128" s="15" t="s">
        <v>157</v>
      </c>
      <c r="G128" s="15"/>
      <c r="H128" s="18">
        <v>36000</v>
      </c>
    </row>
    <row r="129" spans="1:8" x14ac:dyDescent="0.3">
      <c r="A129" s="14">
        <v>46054</v>
      </c>
      <c r="B129" s="15" t="s">
        <v>160</v>
      </c>
      <c r="C129" s="15"/>
      <c r="D129" s="18">
        <v>18000</v>
      </c>
      <c r="E129" s="14"/>
      <c r="F129" s="15"/>
      <c r="G129" s="15"/>
      <c r="H129" s="18"/>
    </row>
    <row r="130" spans="1:8" x14ac:dyDescent="0.3">
      <c r="A130" s="14"/>
      <c r="B130" s="15"/>
      <c r="C130" s="15"/>
      <c r="D130" s="18"/>
      <c r="E130" s="14"/>
      <c r="F130" s="15"/>
      <c r="G130" s="15"/>
      <c r="H130" s="18"/>
    </row>
    <row r="131" spans="1:8" x14ac:dyDescent="0.3">
      <c r="A131" s="14"/>
      <c r="B131" s="15"/>
      <c r="C131" s="15"/>
      <c r="D131" s="17">
        <f>SUM(D128:D129)</f>
        <v>36000</v>
      </c>
      <c r="E131" s="22"/>
      <c r="F131" s="19"/>
      <c r="G131" s="19"/>
      <c r="H131" s="17">
        <v>36000</v>
      </c>
    </row>
    <row r="132" spans="1:8" x14ac:dyDescent="0.3">
      <c r="A132" s="14">
        <v>46113</v>
      </c>
      <c r="B132" s="15" t="s">
        <v>158</v>
      </c>
      <c r="C132" s="15"/>
      <c r="D132" s="17">
        <v>36000</v>
      </c>
      <c r="E132" s="22"/>
      <c r="F132" s="19"/>
      <c r="G132" s="19"/>
      <c r="H132" s="17"/>
    </row>
    <row r="133" spans="1:8" x14ac:dyDescent="0.3">
      <c r="D133" s="9"/>
      <c r="H133" s="9"/>
    </row>
    <row r="134" spans="1:8" x14ac:dyDescent="0.3">
      <c r="D134" s="9"/>
      <c r="H134" s="9"/>
    </row>
    <row r="135" spans="1:8" ht="17.399999999999999" x14ac:dyDescent="0.3">
      <c r="A135" s="10" t="s">
        <v>131</v>
      </c>
      <c r="B135" s="7" t="s">
        <v>184</v>
      </c>
      <c r="C135" s="7"/>
      <c r="D135" s="7"/>
      <c r="E135" s="7"/>
      <c r="F135" s="7"/>
      <c r="G135" s="7"/>
      <c r="H135" s="11" t="s">
        <v>133</v>
      </c>
    </row>
    <row r="136" spans="1:8" ht="15.6" x14ac:dyDescent="0.3">
      <c r="A136" s="12" t="s">
        <v>129</v>
      </c>
      <c r="B136" s="12" t="s">
        <v>38</v>
      </c>
      <c r="C136" s="12" t="s">
        <v>134</v>
      </c>
      <c r="D136" s="13" t="s">
        <v>135</v>
      </c>
      <c r="E136" s="12" t="s">
        <v>129</v>
      </c>
      <c r="F136" s="12" t="s">
        <v>38</v>
      </c>
      <c r="G136" s="12" t="s">
        <v>134</v>
      </c>
      <c r="H136" s="13" t="s">
        <v>135</v>
      </c>
    </row>
    <row r="137" spans="1:8" x14ac:dyDescent="0.3">
      <c r="A137" s="14">
        <v>46112</v>
      </c>
      <c r="B137" s="15" t="s">
        <v>136</v>
      </c>
      <c r="C137" s="15"/>
      <c r="D137" s="18">
        <v>10000</v>
      </c>
      <c r="E137" s="14">
        <v>45858</v>
      </c>
      <c r="F137" s="15" t="s">
        <v>137</v>
      </c>
      <c r="G137" s="15"/>
      <c r="H137" s="18">
        <v>10000</v>
      </c>
    </row>
    <row r="138" spans="1:8" x14ac:dyDescent="0.3">
      <c r="A138" s="14"/>
      <c r="B138" s="15"/>
      <c r="C138" s="15"/>
      <c r="D138" s="18"/>
      <c r="E138" s="14"/>
      <c r="F138" s="15"/>
      <c r="G138" s="15"/>
      <c r="H138" s="18"/>
    </row>
    <row r="139" spans="1:8" x14ac:dyDescent="0.3">
      <c r="A139" s="14"/>
      <c r="B139" s="15"/>
      <c r="C139" s="15"/>
      <c r="D139" s="17">
        <v>10000</v>
      </c>
      <c r="E139" s="14"/>
      <c r="F139" s="15"/>
      <c r="G139" s="15"/>
      <c r="H139" s="17">
        <v>10000</v>
      </c>
    </row>
    <row r="140" spans="1:8" x14ac:dyDescent="0.3">
      <c r="A140" s="14"/>
      <c r="B140" s="15"/>
      <c r="C140" s="15"/>
      <c r="D140" s="18"/>
      <c r="E140" s="14">
        <v>46113</v>
      </c>
      <c r="F140" s="15" t="s">
        <v>138</v>
      </c>
      <c r="G140" s="15"/>
      <c r="H140" s="17">
        <v>10000</v>
      </c>
    </row>
    <row r="141" spans="1:8" x14ac:dyDescent="0.3">
      <c r="D141" s="9"/>
      <c r="H141" s="9"/>
    </row>
    <row r="142" spans="1:8" x14ac:dyDescent="0.3">
      <c r="D142" s="9"/>
      <c r="H142" s="9"/>
    </row>
    <row r="143" spans="1:8" ht="17.399999999999999" x14ac:dyDescent="0.3">
      <c r="A143" s="10" t="s">
        <v>131</v>
      </c>
      <c r="B143" s="7" t="s">
        <v>185</v>
      </c>
      <c r="C143" s="7"/>
      <c r="D143" s="7"/>
      <c r="E143" s="7"/>
      <c r="F143" s="7"/>
      <c r="G143" s="7"/>
      <c r="H143" s="11" t="s">
        <v>133</v>
      </c>
    </row>
    <row r="144" spans="1:8" ht="15.6" x14ac:dyDescent="0.3">
      <c r="A144" s="12" t="s">
        <v>129</v>
      </c>
      <c r="B144" s="12" t="s">
        <v>38</v>
      </c>
      <c r="C144" s="12" t="s">
        <v>134</v>
      </c>
      <c r="D144" s="13" t="s">
        <v>135</v>
      </c>
      <c r="E144" s="12" t="s">
        <v>129</v>
      </c>
      <c r="F144" s="12" t="s">
        <v>38</v>
      </c>
      <c r="G144" s="12" t="s">
        <v>134</v>
      </c>
      <c r="H144" s="13" t="s">
        <v>135</v>
      </c>
    </row>
    <row r="145" spans="1:8" x14ac:dyDescent="0.3">
      <c r="A145" s="14">
        <v>45870</v>
      </c>
      <c r="B145" s="15" t="s">
        <v>160</v>
      </c>
      <c r="C145" s="15"/>
      <c r="D145" s="18">
        <v>40000</v>
      </c>
      <c r="E145" s="14">
        <v>46112</v>
      </c>
      <c r="F145" s="15" t="s">
        <v>157</v>
      </c>
      <c r="G145" s="15"/>
      <c r="H145" s="18">
        <v>40000</v>
      </c>
    </row>
    <row r="146" spans="1:8" x14ac:dyDescent="0.3">
      <c r="A146" s="14"/>
      <c r="B146" s="15"/>
      <c r="C146" s="15"/>
      <c r="D146" s="18"/>
      <c r="E146" s="14"/>
      <c r="F146" s="15"/>
      <c r="G146" s="15"/>
      <c r="H146" s="18"/>
    </row>
    <row r="147" spans="1:8" x14ac:dyDescent="0.3">
      <c r="A147" s="14"/>
      <c r="B147" s="15"/>
      <c r="C147" s="15"/>
      <c r="D147" s="17">
        <v>40000</v>
      </c>
      <c r="E147" s="22"/>
      <c r="F147" s="19"/>
      <c r="G147" s="19"/>
      <c r="H147" s="17">
        <v>40000</v>
      </c>
    </row>
    <row r="148" spans="1:8" x14ac:dyDescent="0.3">
      <c r="A148" s="14">
        <v>46113</v>
      </c>
      <c r="B148" s="15" t="s">
        <v>158</v>
      </c>
      <c r="C148" s="15"/>
      <c r="D148" s="17">
        <v>40000</v>
      </c>
      <c r="E148" s="22"/>
      <c r="F148" s="19"/>
      <c r="G148" s="19"/>
      <c r="H148" s="17"/>
    </row>
    <row r="149" spans="1:8" x14ac:dyDescent="0.3">
      <c r="D149" s="9"/>
      <c r="H149" s="9"/>
    </row>
    <row r="150" spans="1:8" x14ac:dyDescent="0.3">
      <c r="D150" s="9"/>
      <c r="H150" s="9"/>
    </row>
    <row r="151" spans="1:8" ht="17.399999999999999" x14ac:dyDescent="0.3">
      <c r="A151" s="10" t="s">
        <v>131</v>
      </c>
      <c r="B151" s="7" t="s">
        <v>186</v>
      </c>
      <c r="C151" s="7"/>
      <c r="D151" s="7"/>
      <c r="E151" s="7"/>
      <c r="F151" s="7"/>
      <c r="G151" s="7"/>
      <c r="H151" s="11" t="s">
        <v>133</v>
      </c>
    </row>
    <row r="152" spans="1:8" ht="15.6" x14ac:dyDescent="0.3">
      <c r="A152" s="12" t="s">
        <v>129</v>
      </c>
      <c r="B152" s="12" t="s">
        <v>38</v>
      </c>
      <c r="C152" s="12" t="s">
        <v>134</v>
      </c>
      <c r="D152" s="13" t="s">
        <v>135</v>
      </c>
      <c r="E152" s="12" t="s">
        <v>129</v>
      </c>
      <c r="F152" s="12" t="s">
        <v>38</v>
      </c>
      <c r="G152" s="12" t="s">
        <v>134</v>
      </c>
      <c r="H152" s="13" t="s">
        <v>135</v>
      </c>
    </row>
    <row r="153" spans="1:8" x14ac:dyDescent="0.3">
      <c r="A153" s="14">
        <v>45879</v>
      </c>
      <c r="B153" s="15" t="s">
        <v>160</v>
      </c>
      <c r="C153" s="15"/>
      <c r="D153" s="18">
        <v>5000</v>
      </c>
      <c r="E153" s="14">
        <v>46112</v>
      </c>
      <c r="F153" s="15" t="s">
        <v>157</v>
      </c>
      <c r="G153" s="15"/>
      <c r="H153" s="18">
        <f>D153</f>
        <v>5000</v>
      </c>
    </row>
    <row r="154" spans="1:8" x14ac:dyDescent="0.3">
      <c r="A154" s="14"/>
      <c r="B154" s="15"/>
      <c r="C154" s="15"/>
      <c r="D154" s="18"/>
      <c r="E154" s="14"/>
      <c r="F154" s="15"/>
      <c r="G154" s="15"/>
      <c r="H154" s="18"/>
    </row>
    <row r="155" spans="1:8" x14ac:dyDescent="0.3">
      <c r="A155" s="14"/>
      <c r="B155" s="15"/>
      <c r="C155" s="15"/>
      <c r="D155" s="17">
        <f>D153</f>
        <v>5000</v>
      </c>
      <c r="E155" s="22"/>
      <c r="F155" s="19"/>
      <c r="G155" s="19"/>
      <c r="H155" s="17">
        <f>D153</f>
        <v>5000</v>
      </c>
    </row>
    <row r="156" spans="1:8" x14ac:dyDescent="0.3">
      <c r="A156" s="14">
        <v>46113</v>
      </c>
      <c r="B156" s="15" t="s">
        <v>158</v>
      </c>
      <c r="C156" s="15"/>
      <c r="D156" s="17">
        <f>D153</f>
        <v>5000</v>
      </c>
      <c r="E156" s="22"/>
      <c r="F156" s="19"/>
      <c r="G156" s="19"/>
      <c r="H156" s="17"/>
    </row>
    <row r="157" spans="1:8" x14ac:dyDescent="0.3">
      <c r="D157" s="9"/>
      <c r="H157" s="9"/>
    </row>
    <row r="158" spans="1:8" x14ac:dyDescent="0.3">
      <c r="D158" s="9"/>
      <c r="H158" s="9"/>
    </row>
    <row r="159" spans="1:8" ht="17.399999999999999" x14ac:dyDescent="0.3">
      <c r="A159" s="10" t="s">
        <v>131</v>
      </c>
      <c r="B159" s="7" t="s">
        <v>187</v>
      </c>
      <c r="C159" s="7"/>
      <c r="D159" s="7"/>
      <c r="E159" s="7"/>
      <c r="F159" s="7"/>
      <c r="G159" s="7"/>
      <c r="H159" s="11" t="s">
        <v>133</v>
      </c>
    </row>
    <row r="160" spans="1:8" ht="15.6" x14ac:dyDescent="0.3">
      <c r="A160" s="12" t="s">
        <v>129</v>
      </c>
      <c r="B160" s="12" t="s">
        <v>38</v>
      </c>
      <c r="C160" s="12" t="s">
        <v>134</v>
      </c>
      <c r="D160" s="13" t="s">
        <v>135</v>
      </c>
      <c r="E160" s="12" t="s">
        <v>129</v>
      </c>
      <c r="F160" s="12" t="s">
        <v>38</v>
      </c>
      <c r="G160" s="12" t="s">
        <v>134</v>
      </c>
      <c r="H160" s="13" t="s">
        <v>135</v>
      </c>
    </row>
    <row r="161" spans="1:8" x14ac:dyDescent="0.3">
      <c r="A161" s="14">
        <v>46091</v>
      </c>
      <c r="B161" s="15" t="s">
        <v>160</v>
      </c>
      <c r="C161" s="15"/>
      <c r="D161" s="18">
        <v>80000</v>
      </c>
      <c r="E161" s="14">
        <v>45901</v>
      </c>
      <c r="F161" s="15" t="s">
        <v>143</v>
      </c>
      <c r="G161" s="15"/>
      <c r="H161" s="18">
        <v>90000</v>
      </c>
    </row>
    <row r="162" spans="1:8" x14ac:dyDescent="0.3">
      <c r="A162" s="14">
        <v>46112</v>
      </c>
      <c r="B162" s="15" t="s">
        <v>136</v>
      </c>
      <c r="C162" s="15"/>
      <c r="D162" s="18">
        <v>10000</v>
      </c>
      <c r="E162" s="14"/>
      <c r="F162" s="15"/>
      <c r="G162" s="15"/>
      <c r="H162" s="18"/>
    </row>
    <row r="163" spans="1:8" x14ac:dyDescent="0.3">
      <c r="A163" s="14"/>
      <c r="B163" s="15"/>
      <c r="C163" s="15"/>
      <c r="D163" s="17"/>
      <c r="E163" s="22"/>
      <c r="F163" s="19"/>
      <c r="G163" s="19"/>
      <c r="H163" s="17"/>
    </row>
    <row r="164" spans="1:8" x14ac:dyDescent="0.3">
      <c r="A164" s="14"/>
      <c r="B164" s="15"/>
      <c r="C164" s="15"/>
      <c r="D164" s="17">
        <v>90000</v>
      </c>
      <c r="E164" s="22"/>
      <c r="F164" s="19"/>
      <c r="G164" s="19"/>
      <c r="H164" s="17">
        <v>90000</v>
      </c>
    </row>
    <row r="165" spans="1:8" x14ac:dyDescent="0.3">
      <c r="A165" s="15"/>
      <c r="B165" s="15"/>
      <c r="C165" s="15"/>
      <c r="D165" s="16"/>
      <c r="E165" s="14">
        <v>46113</v>
      </c>
      <c r="F165" s="15" t="s">
        <v>138</v>
      </c>
      <c r="G165" s="15"/>
      <c r="H165" s="17">
        <v>10000</v>
      </c>
    </row>
    <row r="166" spans="1:8" x14ac:dyDescent="0.3">
      <c r="D166" s="9"/>
      <c r="H166" s="9"/>
    </row>
    <row r="167" spans="1:8" x14ac:dyDescent="0.3">
      <c r="D167" s="9"/>
      <c r="H167" s="9"/>
    </row>
    <row r="168" spans="1:8" ht="17.399999999999999" x14ac:dyDescent="0.3">
      <c r="A168" s="10" t="s">
        <v>131</v>
      </c>
      <c r="B168" s="7" t="s">
        <v>188</v>
      </c>
      <c r="C168" s="7"/>
      <c r="D168" s="7"/>
      <c r="E168" s="7"/>
      <c r="F168" s="7"/>
      <c r="G168" s="7"/>
      <c r="H168" s="11" t="s">
        <v>133</v>
      </c>
    </row>
    <row r="169" spans="1:8" ht="15.6" x14ac:dyDescent="0.3">
      <c r="A169" s="12" t="s">
        <v>129</v>
      </c>
      <c r="B169" s="12" t="s">
        <v>38</v>
      </c>
      <c r="C169" s="12" t="s">
        <v>134</v>
      </c>
      <c r="D169" s="13" t="s">
        <v>135</v>
      </c>
      <c r="E169" s="12" t="s">
        <v>129</v>
      </c>
      <c r="F169" s="12" t="s">
        <v>38</v>
      </c>
      <c r="G169" s="12" t="s">
        <v>134</v>
      </c>
      <c r="H169" s="13" t="s">
        <v>135</v>
      </c>
    </row>
    <row r="170" spans="1:8" x14ac:dyDescent="0.3">
      <c r="A170" s="14">
        <v>45950</v>
      </c>
      <c r="B170" s="15" t="s">
        <v>160</v>
      </c>
      <c r="C170" s="15"/>
      <c r="D170" s="18">
        <v>12000</v>
      </c>
      <c r="E170" s="14">
        <v>46112</v>
      </c>
      <c r="F170" s="15" t="s">
        <v>157</v>
      </c>
      <c r="G170" s="15"/>
      <c r="H170" s="18">
        <f>D173</f>
        <v>12000</v>
      </c>
    </row>
    <row r="171" spans="1:8" x14ac:dyDescent="0.3">
      <c r="A171" s="14"/>
      <c r="B171" s="15"/>
      <c r="C171" s="15"/>
      <c r="D171" s="18"/>
      <c r="E171" s="14"/>
      <c r="F171" s="15"/>
      <c r="G171" s="15"/>
      <c r="H171" s="18"/>
    </row>
    <row r="172" spans="1:8" x14ac:dyDescent="0.3">
      <c r="A172" s="14"/>
      <c r="B172" s="15"/>
      <c r="C172" s="15"/>
      <c r="D172" s="17">
        <f>D170</f>
        <v>12000</v>
      </c>
      <c r="E172" s="22"/>
      <c r="F172" s="19"/>
      <c r="G172" s="19"/>
      <c r="H172" s="17">
        <f>D172</f>
        <v>12000</v>
      </c>
    </row>
    <row r="173" spans="1:8" x14ac:dyDescent="0.3">
      <c r="A173" s="14">
        <v>46113</v>
      </c>
      <c r="B173" s="15" t="s">
        <v>158</v>
      </c>
      <c r="C173" s="15"/>
      <c r="D173" s="17">
        <f>D170</f>
        <v>12000</v>
      </c>
      <c r="E173" s="22"/>
      <c r="F173" s="19"/>
      <c r="G173" s="19"/>
      <c r="H173" s="17"/>
    </row>
    <row r="174" spans="1:8" x14ac:dyDescent="0.3">
      <c r="D174" s="9"/>
      <c r="H174" s="9"/>
    </row>
    <row r="175" spans="1:8" x14ac:dyDescent="0.3">
      <c r="D175" s="9"/>
      <c r="H175" s="9"/>
    </row>
    <row r="176" spans="1:8" ht="17.399999999999999" x14ac:dyDescent="0.3">
      <c r="A176" s="10" t="s">
        <v>131</v>
      </c>
      <c r="B176" s="7" t="s">
        <v>189</v>
      </c>
      <c r="C176" s="7"/>
      <c r="D176" s="7"/>
      <c r="E176" s="7"/>
      <c r="F176" s="7"/>
      <c r="G176" s="7"/>
      <c r="H176" s="11" t="s">
        <v>133</v>
      </c>
    </row>
    <row r="177" spans="1:8" ht="15.6" x14ac:dyDescent="0.3">
      <c r="A177" s="12" t="s">
        <v>129</v>
      </c>
      <c r="B177" s="12" t="s">
        <v>38</v>
      </c>
      <c r="C177" s="12" t="s">
        <v>134</v>
      </c>
      <c r="D177" s="13" t="s">
        <v>135</v>
      </c>
      <c r="E177" s="12" t="s">
        <v>129</v>
      </c>
      <c r="F177" s="12" t="s">
        <v>38</v>
      </c>
      <c r="G177" s="12" t="s">
        <v>134</v>
      </c>
      <c r="H177" s="13" t="s">
        <v>135</v>
      </c>
    </row>
    <row r="178" spans="1:8" x14ac:dyDescent="0.3">
      <c r="A178" s="14">
        <v>45966</v>
      </c>
      <c r="B178" s="15" t="s">
        <v>160</v>
      </c>
      <c r="C178" s="15"/>
      <c r="D178" s="18">
        <v>10000</v>
      </c>
      <c r="E178" s="14">
        <v>46112</v>
      </c>
      <c r="F178" s="15" t="s">
        <v>157</v>
      </c>
      <c r="G178" s="15"/>
      <c r="H178" s="18">
        <f>D181</f>
        <v>10000</v>
      </c>
    </row>
    <row r="179" spans="1:8" x14ac:dyDescent="0.3">
      <c r="A179" s="14"/>
      <c r="B179" s="15"/>
      <c r="C179" s="15"/>
      <c r="D179" s="18"/>
      <c r="E179" s="14"/>
      <c r="F179" s="15"/>
      <c r="G179" s="15"/>
      <c r="H179" s="18"/>
    </row>
    <row r="180" spans="1:8" x14ac:dyDescent="0.3">
      <c r="A180" s="14"/>
      <c r="B180" s="15"/>
      <c r="C180" s="15"/>
      <c r="D180" s="17">
        <f>D178</f>
        <v>10000</v>
      </c>
      <c r="E180" s="22"/>
      <c r="F180" s="19"/>
      <c r="G180" s="19"/>
      <c r="H180" s="17">
        <f>D180</f>
        <v>10000</v>
      </c>
    </row>
    <row r="181" spans="1:8" x14ac:dyDescent="0.3">
      <c r="A181" s="14">
        <v>46113</v>
      </c>
      <c r="B181" s="15" t="s">
        <v>158</v>
      </c>
      <c r="C181" s="15"/>
      <c r="D181" s="17">
        <f>D178</f>
        <v>10000</v>
      </c>
      <c r="E181" s="22"/>
      <c r="F181" s="19"/>
      <c r="G181" s="19"/>
      <c r="H181" s="17"/>
    </row>
    <row r="182" spans="1:8" x14ac:dyDescent="0.3">
      <c r="D182" s="9"/>
      <c r="H182" s="9"/>
    </row>
    <row r="183" spans="1:8" x14ac:dyDescent="0.3">
      <c r="D183" s="9"/>
      <c r="H183" s="9"/>
    </row>
    <row r="184" spans="1:8" ht="17.399999999999999" x14ac:dyDescent="0.3">
      <c r="A184" s="10" t="s">
        <v>131</v>
      </c>
      <c r="B184" s="7" t="s">
        <v>190</v>
      </c>
      <c r="C184" s="7"/>
      <c r="D184" s="7"/>
      <c r="E184" s="7"/>
      <c r="F184" s="7"/>
      <c r="G184" s="7"/>
      <c r="H184" s="11" t="s">
        <v>133</v>
      </c>
    </row>
    <row r="185" spans="1:8" ht="15.6" x14ac:dyDescent="0.3">
      <c r="A185" s="12" t="s">
        <v>129</v>
      </c>
      <c r="B185" s="12" t="s">
        <v>38</v>
      </c>
      <c r="C185" s="12" t="s">
        <v>134</v>
      </c>
      <c r="D185" s="13" t="s">
        <v>135</v>
      </c>
      <c r="E185" s="12" t="s">
        <v>129</v>
      </c>
      <c r="F185" s="12" t="s">
        <v>38</v>
      </c>
      <c r="G185" s="12" t="s">
        <v>134</v>
      </c>
      <c r="H185" s="13" t="s">
        <v>135</v>
      </c>
    </row>
    <row r="186" spans="1:8" x14ac:dyDescent="0.3">
      <c r="A186" s="14">
        <v>46112</v>
      </c>
      <c r="B186" s="15" t="s">
        <v>136</v>
      </c>
      <c r="C186" s="15"/>
      <c r="D186" s="18">
        <f>H186</f>
        <v>3000</v>
      </c>
      <c r="E186" s="14">
        <v>45992</v>
      </c>
      <c r="F186" s="15" t="s">
        <v>137</v>
      </c>
      <c r="G186" s="15"/>
      <c r="H186" s="18">
        <v>3000</v>
      </c>
    </row>
    <row r="187" spans="1:8" x14ac:dyDescent="0.3">
      <c r="A187" s="14"/>
      <c r="B187" s="15"/>
      <c r="C187" s="15"/>
      <c r="D187" s="18"/>
      <c r="E187" s="14"/>
      <c r="F187" s="15"/>
      <c r="G187" s="15"/>
      <c r="H187" s="18"/>
    </row>
    <row r="188" spans="1:8" x14ac:dyDescent="0.3">
      <c r="A188" s="14"/>
      <c r="B188" s="15"/>
      <c r="C188" s="15"/>
      <c r="D188" s="17">
        <f>H188</f>
        <v>3000</v>
      </c>
      <c r="E188" s="14"/>
      <c r="F188" s="15"/>
      <c r="G188" s="15"/>
      <c r="H188" s="17">
        <f>H186</f>
        <v>3000</v>
      </c>
    </row>
    <row r="189" spans="1:8" x14ac:dyDescent="0.3">
      <c r="A189" s="14"/>
      <c r="B189" s="15"/>
      <c r="C189" s="15"/>
      <c r="D189" s="18"/>
      <c r="E189" s="14">
        <v>46113</v>
      </c>
      <c r="F189" s="15" t="s">
        <v>138</v>
      </c>
      <c r="G189" s="15"/>
      <c r="H189" s="17">
        <f>H186</f>
        <v>3000</v>
      </c>
    </row>
    <row r="190" spans="1:8" x14ac:dyDescent="0.3">
      <c r="D190" s="9"/>
      <c r="H190" s="9"/>
    </row>
    <row r="191" spans="1:8" x14ac:dyDescent="0.3">
      <c r="D191" s="9"/>
      <c r="H191" s="9"/>
    </row>
    <row r="192" spans="1:8" ht="17.399999999999999" x14ac:dyDescent="0.3">
      <c r="A192" s="10" t="s">
        <v>131</v>
      </c>
      <c r="B192" s="7" t="s">
        <v>191</v>
      </c>
      <c r="C192" s="7"/>
      <c r="D192" s="7"/>
      <c r="E192" s="7"/>
      <c r="F192" s="7"/>
      <c r="G192" s="7"/>
      <c r="H192" s="11" t="s">
        <v>133</v>
      </c>
    </row>
    <row r="193" spans="1:8" ht="15.6" x14ac:dyDescent="0.3">
      <c r="A193" s="12" t="s">
        <v>129</v>
      </c>
      <c r="B193" s="12" t="s">
        <v>38</v>
      </c>
      <c r="C193" s="12" t="s">
        <v>134</v>
      </c>
      <c r="D193" s="13" t="s">
        <v>135</v>
      </c>
      <c r="E193" s="12" t="s">
        <v>129</v>
      </c>
      <c r="F193" s="12" t="s">
        <v>38</v>
      </c>
      <c r="G193" s="12" t="s">
        <v>134</v>
      </c>
      <c r="H193" s="13" t="s">
        <v>135</v>
      </c>
    </row>
    <row r="194" spans="1:8" x14ac:dyDescent="0.3">
      <c r="A194" s="14">
        <v>46112</v>
      </c>
      <c r="B194" s="15" t="s">
        <v>136</v>
      </c>
      <c r="C194" s="15"/>
      <c r="D194" s="18">
        <f>H194</f>
        <v>6000</v>
      </c>
      <c r="E194" s="14">
        <v>46032</v>
      </c>
      <c r="F194" s="15" t="s">
        <v>141</v>
      </c>
      <c r="G194" s="15"/>
      <c r="H194" s="18">
        <v>6000</v>
      </c>
    </row>
    <row r="195" spans="1:8" x14ac:dyDescent="0.3">
      <c r="A195" s="14"/>
      <c r="B195" s="15"/>
      <c r="C195" s="15"/>
      <c r="D195" s="18"/>
      <c r="E195" s="14"/>
      <c r="F195" s="15"/>
      <c r="G195" s="15"/>
      <c r="H195" s="18"/>
    </row>
    <row r="196" spans="1:8" x14ac:dyDescent="0.3">
      <c r="A196" s="14"/>
      <c r="B196" s="15"/>
      <c r="C196" s="15"/>
      <c r="D196" s="17">
        <f>H196</f>
        <v>6000</v>
      </c>
      <c r="E196" s="14"/>
      <c r="F196" s="15"/>
      <c r="G196" s="15"/>
      <c r="H196" s="17">
        <f>H194</f>
        <v>6000</v>
      </c>
    </row>
    <row r="197" spans="1:8" x14ac:dyDescent="0.3">
      <c r="A197" s="14"/>
      <c r="B197" s="15"/>
      <c r="C197" s="15"/>
      <c r="D197" s="18"/>
      <c r="E197" s="14">
        <v>46113</v>
      </c>
      <c r="F197" s="15" t="s">
        <v>138</v>
      </c>
      <c r="G197" s="15"/>
      <c r="H197" s="17">
        <f>H194</f>
        <v>6000</v>
      </c>
    </row>
    <row r="198" spans="1:8" x14ac:dyDescent="0.3">
      <c r="D198" s="9"/>
      <c r="H198" s="9"/>
    </row>
    <row r="199" spans="1:8" x14ac:dyDescent="0.3">
      <c r="D199" s="9"/>
      <c r="H199" s="9"/>
    </row>
    <row r="200" spans="1:8" ht="17.399999999999999" x14ac:dyDescent="0.3">
      <c r="A200" s="10" t="s">
        <v>131</v>
      </c>
      <c r="B200" s="7" t="s">
        <v>192</v>
      </c>
      <c r="C200" s="7"/>
      <c r="D200" s="7"/>
      <c r="E200" s="7"/>
      <c r="F200" s="7"/>
      <c r="G200" s="7"/>
      <c r="H200" s="11" t="s">
        <v>133</v>
      </c>
    </row>
    <row r="201" spans="1:8" ht="15.6" x14ac:dyDescent="0.3">
      <c r="A201" s="12" t="s">
        <v>129</v>
      </c>
      <c r="B201" s="12" t="s">
        <v>38</v>
      </c>
      <c r="C201" s="12" t="s">
        <v>134</v>
      </c>
      <c r="D201" s="13" t="s">
        <v>135</v>
      </c>
      <c r="E201" s="12" t="s">
        <v>129</v>
      </c>
      <c r="F201" s="12" t="s">
        <v>38</v>
      </c>
      <c r="G201" s="12" t="s">
        <v>134</v>
      </c>
      <c r="H201" s="13" t="s">
        <v>135</v>
      </c>
    </row>
    <row r="202" spans="1:8" x14ac:dyDescent="0.3">
      <c r="A202" s="14">
        <v>46011</v>
      </c>
      <c r="B202" s="15" t="s">
        <v>160</v>
      </c>
      <c r="C202" s="15"/>
      <c r="D202" s="18">
        <v>25000</v>
      </c>
      <c r="E202" s="14">
        <v>46112</v>
      </c>
      <c r="F202" s="15" t="s">
        <v>157</v>
      </c>
      <c r="G202" s="15"/>
      <c r="H202" s="18">
        <f>D205</f>
        <v>25000</v>
      </c>
    </row>
    <row r="203" spans="1:8" x14ac:dyDescent="0.3">
      <c r="A203" s="14"/>
      <c r="B203" s="15"/>
      <c r="C203" s="15"/>
      <c r="D203" s="18"/>
      <c r="E203" s="14"/>
      <c r="F203" s="15"/>
      <c r="G203" s="15"/>
      <c r="H203" s="18"/>
    </row>
    <row r="204" spans="1:8" x14ac:dyDescent="0.3">
      <c r="A204" s="14"/>
      <c r="B204" s="15"/>
      <c r="C204" s="15"/>
      <c r="D204" s="17">
        <f>D202</f>
        <v>25000</v>
      </c>
      <c r="E204" s="22"/>
      <c r="F204" s="19"/>
      <c r="G204" s="19"/>
      <c r="H204" s="17">
        <f>D204</f>
        <v>25000</v>
      </c>
    </row>
    <row r="205" spans="1:8" x14ac:dyDescent="0.3">
      <c r="A205" s="14">
        <v>46113</v>
      </c>
      <c r="B205" s="15" t="s">
        <v>158</v>
      </c>
      <c r="C205" s="15"/>
      <c r="D205" s="17">
        <f>D202</f>
        <v>25000</v>
      </c>
      <c r="E205" s="22"/>
      <c r="F205" s="19"/>
      <c r="G205" s="19"/>
      <c r="H205" s="17"/>
    </row>
    <row r="206" spans="1:8" x14ac:dyDescent="0.3">
      <c r="D206" s="9"/>
      <c r="H206" s="9"/>
    </row>
    <row r="207" spans="1:8" x14ac:dyDescent="0.3">
      <c r="D207" s="9"/>
      <c r="H207" s="9"/>
    </row>
    <row r="208" spans="1:8" ht="17.399999999999999" x14ac:dyDescent="0.3">
      <c r="A208" s="10" t="s">
        <v>131</v>
      </c>
      <c r="B208" s="7" t="s">
        <v>193</v>
      </c>
      <c r="C208" s="7"/>
      <c r="D208" s="7"/>
      <c r="E208" s="7"/>
      <c r="F208" s="7"/>
      <c r="G208" s="7"/>
      <c r="H208" s="11" t="s">
        <v>133</v>
      </c>
    </row>
    <row r="209" spans="1:8" ht="15.6" x14ac:dyDescent="0.3">
      <c r="A209" s="12" t="s">
        <v>129</v>
      </c>
      <c r="B209" s="12" t="s">
        <v>38</v>
      </c>
      <c r="C209" s="12" t="s">
        <v>134</v>
      </c>
      <c r="D209" s="13" t="s">
        <v>135</v>
      </c>
      <c r="E209" s="12" t="s">
        <v>129</v>
      </c>
      <c r="F209" s="12" t="s">
        <v>38</v>
      </c>
      <c r="G209" s="12" t="s">
        <v>134</v>
      </c>
      <c r="H209" s="13" t="s">
        <v>135</v>
      </c>
    </row>
    <row r="210" spans="1:8" x14ac:dyDescent="0.3">
      <c r="A210" s="14">
        <v>45915</v>
      </c>
      <c r="B210" s="15" t="s">
        <v>142</v>
      </c>
      <c r="C210" s="15"/>
      <c r="D210" s="18">
        <v>140000</v>
      </c>
      <c r="E210" s="14">
        <v>45931</v>
      </c>
      <c r="F210" s="15" t="s">
        <v>137</v>
      </c>
      <c r="G210" s="15"/>
      <c r="H210" s="18">
        <v>100000</v>
      </c>
    </row>
    <row r="211" spans="1:8" x14ac:dyDescent="0.3">
      <c r="A211" s="14"/>
      <c r="B211" s="15"/>
      <c r="C211" s="15"/>
      <c r="D211" s="18"/>
      <c r="E211" s="14">
        <v>46112</v>
      </c>
      <c r="F211" s="15" t="s">
        <v>157</v>
      </c>
      <c r="G211" s="15"/>
      <c r="H211" s="18">
        <v>40000</v>
      </c>
    </row>
    <row r="212" spans="1:8" x14ac:dyDescent="0.3">
      <c r="A212" s="14"/>
      <c r="B212" s="15"/>
      <c r="C212" s="15"/>
      <c r="D212" s="18"/>
      <c r="E212" s="14"/>
      <c r="F212" s="15"/>
      <c r="G212" s="15"/>
      <c r="H212" s="18"/>
    </row>
    <row r="213" spans="1:8" x14ac:dyDescent="0.3">
      <c r="A213" s="14"/>
      <c r="B213" s="15"/>
      <c r="C213" s="15"/>
      <c r="D213" s="17">
        <f>SUM(D210:D212)</f>
        <v>140000</v>
      </c>
      <c r="E213" s="22"/>
      <c r="F213" s="19"/>
      <c r="G213" s="19"/>
      <c r="H213" s="17">
        <f>SUM(H210:H212)</f>
        <v>140000</v>
      </c>
    </row>
    <row r="214" spans="1:8" x14ac:dyDescent="0.3">
      <c r="A214" s="14">
        <v>46113</v>
      </c>
      <c r="B214" s="15" t="s">
        <v>158</v>
      </c>
      <c r="C214" s="15"/>
      <c r="D214" s="17">
        <f>H211</f>
        <v>40000</v>
      </c>
      <c r="E214" s="19"/>
      <c r="F214" s="19"/>
      <c r="G214" s="19"/>
      <c r="H214" s="17"/>
    </row>
  </sheetData>
  <mergeCells count="24">
    <mergeCell ref="B168:G168"/>
    <mergeCell ref="B176:G176"/>
    <mergeCell ref="B184:G184"/>
    <mergeCell ref="B192:G192"/>
    <mergeCell ref="B200:G200"/>
    <mergeCell ref="B208:G208"/>
    <mergeCell ref="B118:G118"/>
    <mergeCell ref="B126:G126"/>
    <mergeCell ref="B135:G135"/>
    <mergeCell ref="B143:G143"/>
    <mergeCell ref="B151:G151"/>
    <mergeCell ref="B159:G159"/>
    <mergeCell ref="B64:G64"/>
    <mergeCell ref="B76:G76"/>
    <mergeCell ref="B86:G86"/>
    <mergeCell ref="B94:G94"/>
    <mergeCell ref="B102:G102"/>
    <mergeCell ref="B110:G110"/>
    <mergeCell ref="A1:H1"/>
    <mergeCell ref="B4:G4"/>
    <mergeCell ref="B12:G12"/>
    <mergeCell ref="B33:G33"/>
    <mergeCell ref="B43:G43"/>
    <mergeCell ref="B54:G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5FD8-CC5F-42B8-80BC-93E86914DF08}">
  <dimension ref="A1:D27"/>
  <sheetViews>
    <sheetView topLeftCell="A7" workbookViewId="0">
      <selection activeCell="F3" sqref="F3"/>
    </sheetView>
  </sheetViews>
  <sheetFormatPr defaultRowHeight="14.4" x14ac:dyDescent="0.3"/>
  <cols>
    <col min="2" max="2" width="41" customWidth="1"/>
    <col min="3" max="3" width="10.21875" bestFit="1" customWidth="1"/>
    <col min="4" max="4" width="10.77734375" bestFit="1" customWidth="1"/>
  </cols>
  <sheetData>
    <row r="1" spans="1:4" ht="44.4" customHeight="1" x14ac:dyDescent="0.3">
      <c r="A1" s="8" t="s">
        <v>194</v>
      </c>
      <c r="B1" s="8"/>
      <c r="C1" s="8"/>
      <c r="D1" s="8"/>
    </row>
    <row r="2" spans="1:4" x14ac:dyDescent="0.3">
      <c r="C2" s="9"/>
      <c r="D2" s="9"/>
    </row>
    <row r="3" spans="1:4" ht="17.399999999999999" x14ac:dyDescent="0.3">
      <c r="A3" s="23" t="s">
        <v>195</v>
      </c>
      <c r="B3" s="23" t="s">
        <v>38</v>
      </c>
      <c r="C3" s="24" t="s">
        <v>196</v>
      </c>
      <c r="D3" s="24" t="s">
        <v>197</v>
      </c>
    </row>
    <row r="4" spans="1:4" x14ac:dyDescent="0.3">
      <c r="A4" s="25">
        <v>1</v>
      </c>
      <c r="B4" s="25" t="s">
        <v>139</v>
      </c>
      <c r="C4" s="26">
        <v>425000</v>
      </c>
      <c r="D4" s="26"/>
    </row>
    <row r="5" spans="1:4" x14ac:dyDescent="0.3">
      <c r="A5" s="25">
        <v>2</v>
      </c>
      <c r="B5" s="25" t="s">
        <v>159</v>
      </c>
      <c r="C5" s="26">
        <v>86000</v>
      </c>
      <c r="D5" s="26"/>
    </row>
    <row r="6" spans="1:4" x14ac:dyDescent="0.3">
      <c r="A6" s="25">
        <v>3</v>
      </c>
      <c r="B6" s="25" t="s">
        <v>164</v>
      </c>
      <c r="C6" s="26">
        <v>400000</v>
      </c>
      <c r="D6" s="26"/>
    </row>
    <row r="7" spans="1:4" x14ac:dyDescent="0.3">
      <c r="A7" s="25">
        <v>4</v>
      </c>
      <c r="B7" s="25" t="s">
        <v>174</v>
      </c>
      <c r="C7" s="26">
        <v>42000</v>
      </c>
      <c r="D7" s="26"/>
    </row>
    <row r="8" spans="1:4" x14ac:dyDescent="0.3">
      <c r="A8" s="25">
        <v>5</v>
      </c>
      <c r="B8" s="25" t="s">
        <v>176</v>
      </c>
      <c r="C8" s="26">
        <v>12000</v>
      </c>
      <c r="D8" s="26"/>
    </row>
    <row r="9" spans="1:4" x14ac:dyDescent="0.3">
      <c r="A9" s="25">
        <v>6</v>
      </c>
      <c r="B9" s="25" t="s">
        <v>177</v>
      </c>
      <c r="C9" s="26">
        <v>8000</v>
      </c>
      <c r="D9" s="26"/>
    </row>
    <row r="10" spans="1:4" x14ac:dyDescent="0.3">
      <c r="A10" s="25">
        <v>7</v>
      </c>
      <c r="B10" s="25" t="s">
        <v>198</v>
      </c>
      <c r="C10" s="26">
        <v>50000</v>
      </c>
      <c r="D10" s="26"/>
    </row>
    <row r="11" spans="1:4" x14ac:dyDescent="0.3">
      <c r="A11" s="25">
        <v>8</v>
      </c>
      <c r="B11" s="25" t="s">
        <v>181</v>
      </c>
      <c r="C11" s="26">
        <v>8000</v>
      </c>
      <c r="D11" s="26"/>
    </row>
    <row r="12" spans="1:4" x14ac:dyDescent="0.3">
      <c r="A12" s="25">
        <v>9</v>
      </c>
      <c r="B12" s="25" t="s">
        <v>183</v>
      </c>
      <c r="C12" s="26">
        <v>36000</v>
      </c>
      <c r="D12" s="26"/>
    </row>
    <row r="13" spans="1:4" x14ac:dyDescent="0.3">
      <c r="A13" s="25">
        <v>10</v>
      </c>
      <c r="B13" s="25" t="s">
        <v>199</v>
      </c>
      <c r="C13" s="26">
        <v>40000</v>
      </c>
      <c r="D13" s="26"/>
    </row>
    <row r="14" spans="1:4" x14ac:dyDescent="0.3">
      <c r="A14" s="25">
        <v>11</v>
      </c>
      <c r="B14" s="25" t="s">
        <v>200</v>
      </c>
      <c r="C14" s="26">
        <v>5000</v>
      </c>
      <c r="D14" s="26"/>
    </row>
    <row r="15" spans="1:4" x14ac:dyDescent="0.3">
      <c r="A15" s="25">
        <v>12</v>
      </c>
      <c r="B15" s="25" t="s">
        <v>193</v>
      </c>
      <c r="C15" s="26">
        <v>40000</v>
      </c>
      <c r="D15" s="26"/>
    </row>
    <row r="16" spans="1:4" x14ac:dyDescent="0.3">
      <c r="A16" s="25">
        <v>13</v>
      </c>
      <c r="B16" s="25" t="s">
        <v>201</v>
      </c>
      <c r="C16" s="26">
        <v>12000</v>
      </c>
      <c r="D16" s="26"/>
    </row>
    <row r="17" spans="1:4" x14ac:dyDescent="0.3">
      <c r="A17" s="25">
        <v>14</v>
      </c>
      <c r="B17" s="25" t="s">
        <v>202</v>
      </c>
      <c r="C17" s="26">
        <v>10000</v>
      </c>
      <c r="D17" s="26"/>
    </row>
    <row r="18" spans="1:4" x14ac:dyDescent="0.3">
      <c r="A18" s="25">
        <v>15</v>
      </c>
      <c r="B18" s="25" t="s">
        <v>192</v>
      </c>
      <c r="C18" s="26">
        <v>25000</v>
      </c>
      <c r="D18" s="26"/>
    </row>
    <row r="19" spans="1:4" x14ac:dyDescent="0.3">
      <c r="A19" s="25">
        <v>16</v>
      </c>
      <c r="B19" s="25" t="s">
        <v>132</v>
      </c>
      <c r="C19" s="26"/>
      <c r="D19" s="26">
        <v>600000</v>
      </c>
    </row>
    <row r="20" spans="1:4" x14ac:dyDescent="0.3">
      <c r="A20" s="25">
        <v>17</v>
      </c>
      <c r="B20" s="25" t="s">
        <v>167</v>
      </c>
      <c r="C20" s="26"/>
      <c r="D20" s="26">
        <v>15000</v>
      </c>
    </row>
    <row r="21" spans="1:4" x14ac:dyDescent="0.3">
      <c r="A21" s="25">
        <v>18</v>
      </c>
      <c r="B21" s="25" t="s">
        <v>171</v>
      </c>
      <c r="C21" s="26"/>
      <c r="D21" s="26">
        <v>540000</v>
      </c>
    </row>
    <row r="22" spans="1:4" x14ac:dyDescent="0.3">
      <c r="A22" s="25">
        <v>19</v>
      </c>
      <c r="B22" s="25" t="s">
        <v>179</v>
      </c>
      <c r="C22" s="26"/>
      <c r="D22" s="26">
        <v>15000</v>
      </c>
    </row>
    <row r="23" spans="1:4" x14ac:dyDescent="0.3">
      <c r="A23" s="25">
        <v>20</v>
      </c>
      <c r="B23" s="25" t="s">
        <v>184</v>
      </c>
      <c r="C23" s="26"/>
      <c r="D23" s="26">
        <v>10000</v>
      </c>
    </row>
    <row r="24" spans="1:4" x14ac:dyDescent="0.3">
      <c r="A24" s="25">
        <v>21</v>
      </c>
      <c r="B24" s="25" t="s">
        <v>203</v>
      </c>
      <c r="C24" s="26"/>
      <c r="D24" s="26">
        <v>10000</v>
      </c>
    </row>
    <row r="25" spans="1:4" x14ac:dyDescent="0.3">
      <c r="A25" s="25">
        <v>22</v>
      </c>
      <c r="B25" s="25" t="s">
        <v>204</v>
      </c>
      <c r="C25" s="26"/>
      <c r="D25" s="26">
        <v>3000</v>
      </c>
    </row>
    <row r="26" spans="1:4" x14ac:dyDescent="0.3">
      <c r="A26" s="25">
        <v>23</v>
      </c>
      <c r="B26" s="25" t="s">
        <v>191</v>
      </c>
      <c r="C26" s="26"/>
      <c r="D26" s="26">
        <v>6000</v>
      </c>
    </row>
    <row r="27" spans="1:4" ht="15.6" x14ac:dyDescent="0.3">
      <c r="A27" s="25"/>
      <c r="B27" s="12" t="s">
        <v>205</v>
      </c>
      <c r="C27" s="27">
        <f>SUM(C4:C26)</f>
        <v>1199000</v>
      </c>
      <c r="D27" s="27">
        <f>SUM(D8:D26)</f>
        <v>1199000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A002-E0B2-40DD-B52F-7B979DF88E37}">
  <dimension ref="A1:F12"/>
  <sheetViews>
    <sheetView workbookViewId="0">
      <selection activeCell="E17" sqref="E17"/>
    </sheetView>
  </sheetViews>
  <sheetFormatPr defaultRowHeight="14.4" x14ac:dyDescent="0.3"/>
  <cols>
    <col min="1" max="1" width="26.77734375" customWidth="1"/>
    <col min="2" max="2" width="13.5546875" customWidth="1"/>
    <col min="3" max="3" width="11.5546875" customWidth="1"/>
    <col min="4" max="4" width="26.77734375" customWidth="1"/>
    <col min="5" max="5" width="11.21875" customWidth="1"/>
    <col min="6" max="6" width="12" customWidth="1"/>
  </cols>
  <sheetData>
    <row r="1" spans="1:6" ht="38.4" customHeight="1" x14ac:dyDescent="0.3">
      <c r="A1" s="8" t="s">
        <v>206</v>
      </c>
      <c r="B1" s="8"/>
      <c r="C1" s="8"/>
      <c r="D1" s="8"/>
      <c r="E1" s="8"/>
      <c r="F1" s="8"/>
    </row>
    <row r="2" spans="1:6" ht="15.6" x14ac:dyDescent="0.3">
      <c r="A2" s="28" t="s">
        <v>131</v>
      </c>
      <c r="B2" s="29"/>
      <c r="C2" s="29"/>
      <c r="D2" s="28"/>
      <c r="E2" s="29"/>
      <c r="F2" s="11" t="s">
        <v>133</v>
      </c>
    </row>
    <row r="3" spans="1:6" ht="15.6" x14ac:dyDescent="0.3">
      <c r="A3" s="30" t="s">
        <v>38</v>
      </c>
      <c r="B3" s="13" t="s">
        <v>135</v>
      </c>
      <c r="C3" s="31" t="s">
        <v>135</v>
      </c>
      <c r="D3" s="12" t="s">
        <v>38</v>
      </c>
      <c r="E3" s="31" t="s">
        <v>135</v>
      </c>
      <c r="F3" s="13" t="s">
        <v>135</v>
      </c>
    </row>
    <row r="4" spans="1:6" x14ac:dyDescent="0.3">
      <c r="A4" s="32" t="s">
        <v>207</v>
      </c>
      <c r="B4" s="33" t="s">
        <v>208</v>
      </c>
      <c r="C4" s="34" t="s">
        <v>208</v>
      </c>
      <c r="D4" s="35" t="s">
        <v>209</v>
      </c>
      <c r="E4" s="34">
        <v>540000</v>
      </c>
      <c r="F4" s="33"/>
    </row>
    <row r="5" spans="1:6" ht="15" thickBot="1" x14ac:dyDescent="0.35">
      <c r="A5" s="32" t="s">
        <v>210</v>
      </c>
      <c r="B5" s="33">
        <v>400000</v>
      </c>
      <c r="C5" s="34"/>
      <c r="D5" s="35" t="s">
        <v>211</v>
      </c>
      <c r="E5" s="36">
        <v>8000</v>
      </c>
      <c r="F5" s="33">
        <f>E4-E5</f>
        <v>532000</v>
      </c>
    </row>
    <row r="6" spans="1:6" ht="15" thickBot="1" x14ac:dyDescent="0.35">
      <c r="A6" s="32" t="s">
        <v>212</v>
      </c>
      <c r="B6" s="37">
        <v>15000</v>
      </c>
      <c r="C6" s="34">
        <f>B5-B6</f>
        <v>385000</v>
      </c>
      <c r="D6" s="35" t="s">
        <v>213</v>
      </c>
      <c r="E6" s="34"/>
      <c r="F6" s="33">
        <v>120000</v>
      </c>
    </row>
    <row r="7" spans="1:6" x14ac:dyDescent="0.3">
      <c r="A7" s="32" t="s">
        <v>214</v>
      </c>
      <c r="B7" s="33"/>
      <c r="C7" s="34"/>
      <c r="D7" s="35"/>
      <c r="E7" s="34"/>
      <c r="F7" s="33"/>
    </row>
    <row r="8" spans="1:6" x14ac:dyDescent="0.3">
      <c r="A8" s="32" t="s">
        <v>215</v>
      </c>
      <c r="B8" s="33"/>
      <c r="C8" s="34">
        <v>8000</v>
      </c>
      <c r="D8" s="35"/>
      <c r="E8" s="34"/>
      <c r="F8" s="33"/>
    </row>
    <row r="9" spans="1:6" x14ac:dyDescent="0.3">
      <c r="A9" s="32" t="s">
        <v>216</v>
      </c>
      <c r="B9" s="33"/>
      <c r="C9" s="34">
        <v>5000</v>
      </c>
      <c r="D9" s="35"/>
      <c r="E9" s="34"/>
      <c r="F9" s="33"/>
    </row>
    <row r="10" spans="1:6" x14ac:dyDescent="0.3">
      <c r="A10" s="32" t="s">
        <v>217</v>
      </c>
      <c r="B10" s="33"/>
      <c r="C10" s="38">
        <v>254000</v>
      </c>
      <c r="D10" s="35"/>
      <c r="E10" s="34"/>
      <c r="F10" s="33"/>
    </row>
    <row r="11" spans="1:6" x14ac:dyDescent="0.3">
      <c r="A11" s="32"/>
      <c r="B11" s="33"/>
      <c r="C11" s="34"/>
      <c r="D11" s="35"/>
      <c r="E11" s="34"/>
      <c r="F11" s="33"/>
    </row>
    <row r="12" spans="1:6" x14ac:dyDescent="0.3">
      <c r="A12" s="39"/>
      <c r="B12" s="40"/>
      <c r="C12" s="17">
        <f>SUM(C6:C10)</f>
        <v>652000</v>
      </c>
      <c r="D12" s="41"/>
      <c r="E12" s="42"/>
      <c r="F12" s="17">
        <f>SUM(F5:F10)</f>
        <v>652000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DC75-EF09-4566-9F26-5F8022FC4556}">
  <dimension ref="A1:F13"/>
  <sheetViews>
    <sheetView workbookViewId="0">
      <selection activeCell="C17" sqref="C17"/>
    </sheetView>
  </sheetViews>
  <sheetFormatPr defaultRowHeight="14.4" x14ac:dyDescent="0.3"/>
  <cols>
    <col min="1" max="1" width="26.5546875" customWidth="1"/>
    <col min="2" max="2" width="13.109375" customWidth="1"/>
    <col min="3" max="3" width="13.88671875" customWidth="1"/>
    <col min="4" max="4" width="26.88671875" customWidth="1"/>
    <col min="5" max="5" width="13.88671875" customWidth="1"/>
    <col min="6" max="6" width="12.88671875" customWidth="1"/>
  </cols>
  <sheetData>
    <row r="1" spans="1:6" ht="36" customHeight="1" x14ac:dyDescent="0.3">
      <c r="A1" s="8" t="s">
        <v>218</v>
      </c>
      <c r="B1" s="8"/>
      <c r="C1" s="8"/>
      <c r="D1" s="8"/>
      <c r="E1" s="8"/>
      <c r="F1" s="8"/>
    </row>
    <row r="2" spans="1:6" ht="15.6" x14ac:dyDescent="0.3">
      <c r="A2" s="28" t="s">
        <v>131</v>
      </c>
      <c r="B2" s="29"/>
      <c r="C2" s="29"/>
      <c r="D2" s="28"/>
      <c r="E2" s="29"/>
      <c r="F2" s="11" t="s">
        <v>133</v>
      </c>
    </row>
    <row r="3" spans="1:6" ht="15.6" x14ac:dyDescent="0.3">
      <c r="A3" s="30" t="s">
        <v>38</v>
      </c>
      <c r="B3" s="13" t="s">
        <v>135</v>
      </c>
      <c r="C3" s="31" t="s">
        <v>135</v>
      </c>
      <c r="D3" s="12" t="s">
        <v>38</v>
      </c>
      <c r="E3" s="31" t="s">
        <v>135</v>
      </c>
      <c r="F3" s="13" t="s">
        <v>135</v>
      </c>
    </row>
    <row r="4" spans="1:6" x14ac:dyDescent="0.3">
      <c r="A4" s="32" t="s">
        <v>219</v>
      </c>
      <c r="B4" s="33">
        <v>12000</v>
      </c>
      <c r="C4" s="34"/>
      <c r="D4" s="35" t="s">
        <v>220</v>
      </c>
      <c r="E4" s="34"/>
      <c r="F4" s="33">
        <v>254000</v>
      </c>
    </row>
    <row r="5" spans="1:6" ht="15" thickBot="1" x14ac:dyDescent="0.35">
      <c r="A5" s="32" t="s">
        <v>221</v>
      </c>
      <c r="B5" s="37">
        <v>3000</v>
      </c>
      <c r="C5" s="34">
        <f>B4+B5</f>
        <v>15000</v>
      </c>
      <c r="D5" s="35" t="s">
        <v>222</v>
      </c>
      <c r="E5" s="34"/>
      <c r="F5" s="33">
        <v>10000</v>
      </c>
    </row>
    <row r="6" spans="1:6" x14ac:dyDescent="0.3">
      <c r="A6" s="32" t="s">
        <v>223</v>
      </c>
      <c r="B6" s="33">
        <v>36000</v>
      </c>
      <c r="C6" s="34"/>
      <c r="D6" s="35" t="s">
        <v>224</v>
      </c>
      <c r="E6" s="34"/>
      <c r="F6" s="33">
        <v>3000</v>
      </c>
    </row>
    <row r="7" spans="1:6" ht="15" thickBot="1" x14ac:dyDescent="0.35">
      <c r="A7" s="32" t="s">
        <v>225</v>
      </c>
      <c r="B7" s="37">
        <v>4000</v>
      </c>
      <c r="C7" s="34">
        <f>B6+B7</f>
        <v>40000</v>
      </c>
      <c r="D7" s="35" t="s">
        <v>226</v>
      </c>
      <c r="E7" s="34"/>
      <c r="F7" s="33">
        <v>6000</v>
      </c>
    </row>
    <row r="8" spans="1:6" x14ac:dyDescent="0.3">
      <c r="A8" s="32" t="s">
        <v>227</v>
      </c>
      <c r="B8" s="33">
        <v>12000</v>
      </c>
      <c r="C8" s="34"/>
      <c r="D8" s="35" t="s">
        <v>228</v>
      </c>
      <c r="E8" s="34"/>
      <c r="F8" s="33">
        <v>1000</v>
      </c>
    </row>
    <row r="9" spans="1:6" x14ac:dyDescent="0.3">
      <c r="A9" s="32" t="s">
        <v>229</v>
      </c>
      <c r="B9" s="33">
        <v>2000</v>
      </c>
      <c r="C9" s="34">
        <v>10000</v>
      </c>
      <c r="D9" s="35"/>
      <c r="E9" s="34"/>
      <c r="F9" s="33"/>
    </row>
    <row r="10" spans="1:6" x14ac:dyDescent="0.3">
      <c r="A10" s="32" t="s">
        <v>230</v>
      </c>
      <c r="B10" s="33"/>
      <c r="C10" s="34">
        <v>10000</v>
      </c>
      <c r="D10" s="35"/>
      <c r="E10" s="34"/>
      <c r="F10" s="33"/>
    </row>
    <row r="11" spans="1:6" x14ac:dyDescent="0.3">
      <c r="A11" s="32" t="s">
        <v>231</v>
      </c>
      <c r="B11" s="33"/>
      <c r="C11" s="38">
        <v>199000</v>
      </c>
      <c r="D11" s="35"/>
      <c r="E11" s="34"/>
      <c r="F11" s="33"/>
    </row>
    <row r="12" spans="1:6" x14ac:dyDescent="0.3">
      <c r="A12" s="32"/>
      <c r="B12" s="33"/>
      <c r="C12" s="34"/>
      <c r="D12" s="35"/>
      <c r="E12" s="34"/>
      <c r="F12" s="40"/>
    </row>
    <row r="13" spans="1:6" x14ac:dyDescent="0.3">
      <c r="A13" s="39"/>
      <c r="B13" s="40"/>
      <c r="C13" s="17">
        <f>SUM(C5:C12)</f>
        <v>274000</v>
      </c>
      <c r="D13" s="41"/>
      <c r="E13" s="42"/>
      <c r="F13" s="17">
        <f>SUM(F4:F10)</f>
        <v>274000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C349-427F-4B55-916D-B98B7145C61E}">
  <dimension ref="A1:F17"/>
  <sheetViews>
    <sheetView workbookViewId="0">
      <selection sqref="A1:F17"/>
    </sheetView>
  </sheetViews>
  <sheetFormatPr defaultRowHeight="14.4" x14ac:dyDescent="0.3"/>
  <cols>
    <col min="1" max="1" width="31.77734375" customWidth="1"/>
    <col min="2" max="2" width="13.21875" customWidth="1"/>
    <col min="3" max="3" width="13.6640625" customWidth="1"/>
    <col min="4" max="4" width="35" customWidth="1"/>
    <col min="5" max="5" width="13.109375" customWidth="1"/>
    <col min="6" max="6" width="13.21875" customWidth="1"/>
  </cols>
  <sheetData>
    <row r="1" spans="1:6" ht="17.399999999999999" x14ac:dyDescent="0.3">
      <c r="A1" s="8" t="s">
        <v>232</v>
      </c>
      <c r="B1" s="8"/>
      <c r="C1" s="8"/>
      <c r="D1" s="8"/>
      <c r="E1" s="8"/>
      <c r="F1" s="8"/>
    </row>
    <row r="2" spans="1:6" x14ac:dyDescent="0.3">
      <c r="B2" s="9"/>
      <c r="C2" s="9"/>
      <c r="E2" s="9"/>
      <c r="F2" s="9"/>
    </row>
    <row r="3" spans="1:6" ht="15.6" x14ac:dyDescent="0.3">
      <c r="A3" s="28" t="s">
        <v>131</v>
      </c>
      <c r="B3" s="29"/>
      <c r="C3" s="29"/>
      <c r="D3" s="28"/>
      <c r="E3" s="29"/>
      <c r="F3" s="11" t="s">
        <v>133</v>
      </c>
    </row>
    <row r="4" spans="1:6" ht="15.6" x14ac:dyDescent="0.3">
      <c r="A4" s="30" t="s">
        <v>233</v>
      </c>
      <c r="B4" s="13" t="s">
        <v>135</v>
      </c>
      <c r="C4" s="31" t="s">
        <v>135</v>
      </c>
      <c r="D4" s="12" t="s">
        <v>234</v>
      </c>
      <c r="E4" s="31" t="s">
        <v>135</v>
      </c>
      <c r="F4" s="43" t="s">
        <v>135</v>
      </c>
    </row>
    <row r="5" spans="1:6" x14ac:dyDescent="0.3">
      <c r="A5" s="32" t="s">
        <v>235</v>
      </c>
      <c r="B5" s="33">
        <v>600000</v>
      </c>
      <c r="C5" s="34"/>
      <c r="D5" s="35" t="s">
        <v>236</v>
      </c>
      <c r="E5" s="34"/>
      <c r="F5" s="44"/>
    </row>
    <row r="6" spans="1:6" x14ac:dyDescent="0.3">
      <c r="A6" s="32" t="s">
        <v>237</v>
      </c>
      <c r="B6" s="33">
        <v>25000</v>
      </c>
      <c r="C6" s="34"/>
      <c r="D6" s="35" t="s">
        <v>238</v>
      </c>
      <c r="E6" s="34">
        <v>425000</v>
      </c>
      <c r="F6" s="33"/>
    </row>
    <row r="7" spans="1:6" ht="15" thickBot="1" x14ac:dyDescent="0.35">
      <c r="A7" s="32" t="s">
        <v>239</v>
      </c>
      <c r="B7" s="37">
        <v>199000</v>
      </c>
      <c r="C7" s="34">
        <f>B5+B7-B6</f>
        <v>774000</v>
      </c>
      <c r="D7" s="35" t="s">
        <v>240</v>
      </c>
      <c r="E7" s="36">
        <v>86000</v>
      </c>
      <c r="F7" s="33">
        <f>E6+E7</f>
        <v>511000</v>
      </c>
    </row>
    <row r="8" spans="1:6" x14ac:dyDescent="0.3">
      <c r="A8" s="32" t="s">
        <v>241</v>
      </c>
      <c r="B8" s="33"/>
      <c r="C8" s="34"/>
      <c r="D8" s="35" t="s">
        <v>242</v>
      </c>
      <c r="E8" s="34">
        <v>2000</v>
      </c>
      <c r="F8" s="33"/>
    </row>
    <row r="9" spans="1:6" ht="15" thickBot="1" x14ac:dyDescent="0.35">
      <c r="A9" s="32" t="s">
        <v>243</v>
      </c>
      <c r="B9" s="33">
        <v>4000</v>
      </c>
      <c r="C9" s="34"/>
      <c r="D9" s="35" t="s">
        <v>244</v>
      </c>
      <c r="E9" s="36">
        <v>1000</v>
      </c>
      <c r="F9" s="33">
        <v>3000</v>
      </c>
    </row>
    <row r="10" spans="1:6" ht="15" thickBot="1" x14ac:dyDescent="0.35">
      <c r="A10" s="32" t="s">
        <v>245</v>
      </c>
      <c r="B10" s="37">
        <v>3000</v>
      </c>
      <c r="C10" s="34">
        <f>B9+B10</f>
        <v>7000</v>
      </c>
      <c r="D10" s="35" t="s">
        <v>246</v>
      </c>
      <c r="E10" s="34"/>
      <c r="F10" s="33">
        <v>120000</v>
      </c>
    </row>
    <row r="11" spans="1:6" x14ac:dyDescent="0.3">
      <c r="A11" s="32" t="s">
        <v>247</v>
      </c>
      <c r="B11" s="33">
        <v>15000</v>
      </c>
      <c r="C11" s="34"/>
      <c r="D11" s="35" t="s">
        <v>248</v>
      </c>
      <c r="E11" s="34">
        <v>42000</v>
      </c>
      <c r="F11" s="33"/>
    </row>
    <row r="12" spans="1:6" ht="15" thickBot="1" x14ac:dyDescent="0.35">
      <c r="A12" s="32" t="s">
        <v>249</v>
      </c>
      <c r="B12" s="37">
        <v>10000</v>
      </c>
      <c r="C12" s="34">
        <f>B11+B12</f>
        <v>25000</v>
      </c>
      <c r="D12" s="35" t="s">
        <v>250</v>
      </c>
      <c r="E12" s="37">
        <v>40000</v>
      </c>
      <c r="F12" s="33">
        <f>E11+E12</f>
        <v>82000</v>
      </c>
    </row>
    <row r="13" spans="1:6" x14ac:dyDescent="0.3">
      <c r="A13" s="32"/>
      <c r="B13" s="33"/>
      <c r="C13" s="34"/>
      <c r="D13" s="35" t="s">
        <v>251</v>
      </c>
      <c r="E13" s="34"/>
      <c r="F13" s="33"/>
    </row>
    <row r="14" spans="1:6" x14ac:dyDescent="0.3">
      <c r="A14" s="32"/>
      <c r="B14" s="33"/>
      <c r="C14" s="34"/>
      <c r="D14" s="35" t="s">
        <v>252</v>
      </c>
      <c r="E14" s="34">
        <v>50000</v>
      </c>
      <c r="F14" s="33"/>
    </row>
    <row r="15" spans="1:6" ht="15" thickBot="1" x14ac:dyDescent="0.35">
      <c r="A15" s="32"/>
      <c r="B15" s="33"/>
      <c r="C15" s="34"/>
      <c r="D15" s="35" t="s">
        <v>253</v>
      </c>
      <c r="E15" s="37">
        <v>40000</v>
      </c>
      <c r="F15" s="33">
        <f>E14+E15</f>
        <v>90000</v>
      </c>
    </row>
    <row r="16" spans="1:6" x14ac:dyDescent="0.3">
      <c r="A16" s="32"/>
      <c r="B16" s="33"/>
      <c r="C16" s="34"/>
      <c r="D16" s="35"/>
      <c r="E16" s="34"/>
      <c r="F16" s="40"/>
    </row>
    <row r="17" spans="1:6" x14ac:dyDescent="0.3">
      <c r="A17" s="39"/>
      <c r="B17" s="40"/>
      <c r="C17" s="17">
        <f>SUM(C6:C13)</f>
        <v>806000</v>
      </c>
      <c r="D17" s="41"/>
      <c r="E17" s="42"/>
      <c r="F17" s="17">
        <f>SUM(F5:F16)</f>
        <v>806000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A394-609E-42C0-82D5-6357DEA41184}">
  <dimension ref="A1:C47"/>
  <sheetViews>
    <sheetView tabSelected="1" workbookViewId="0">
      <selection activeCell="E16" sqref="E16"/>
    </sheetView>
  </sheetViews>
  <sheetFormatPr defaultRowHeight="14.4" x14ac:dyDescent="0.3"/>
  <cols>
    <col min="1" max="1" width="29.109375" bestFit="1" customWidth="1"/>
    <col min="2" max="2" width="72.6640625" bestFit="1" customWidth="1"/>
    <col min="3" max="3" width="77.88671875" bestFit="1" customWidth="1"/>
  </cols>
  <sheetData>
    <row r="1" spans="1:3" ht="17.399999999999999" x14ac:dyDescent="0.3">
      <c r="A1" s="45" t="s">
        <v>254</v>
      </c>
      <c r="B1" s="45"/>
      <c r="C1" s="46" t="s">
        <v>255</v>
      </c>
    </row>
    <row r="2" spans="1:3" x14ac:dyDescent="0.3">
      <c r="A2" s="47" t="s">
        <v>256</v>
      </c>
      <c r="B2" s="48"/>
      <c r="C2" s="49"/>
    </row>
    <row r="3" spans="1:3" x14ac:dyDescent="0.3">
      <c r="A3" s="50" t="s">
        <v>257</v>
      </c>
      <c r="B3" s="51" t="s">
        <v>258</v>
      </c>
      <c r="C3" s="52"/>
    </row>
    <row r="4" spans="1:3" x14ac:dyDescent="0.3">
      <c r="A4" s="53" t="s">
        <v>259</v>
      </c>
      <c r="B4" s="54">
        <v>716000</v>
      </c>
      <c r="C4" s="52" t="s">
        <v>260</v>
      </c>
    </row>
    <row r="5" spans="1:3" x14ac:dyDescent="0.3">
      <c r="A5" s="53" t="s">
        <v>261</v>
      </c>
      <c r="B5" s="54">
        <v>32000</v>
      </c>
      <c r="C5" s="52" t="s">
        <v>262</v>
      </c>
    </row>
    <row r="6" spans="1:3" x14ac:dyDescent="0.3">
      <c r="A6" s="53"/>
      <c r="B6" s="54"/>
      <c r="C6" s="55" t="s">
        <v>263</v>
      </c>
    </row>
    <row r="7" spans="1:3" x14ac:dyDescent="0.3">
      <c r="A7" s="53" t="s">
        <v>264</v>
      </c>
      <c r="B7" s="56">
        <f>(B4/B5)</f>
        <v>22.375</v>
      </c>
      <c r="C7" s="55" t="s">
        <v>265</v>
      </c>
    </row>
    <row r="8" spans="1:3" x14ac:dyDescent="0.3">
      <c r="A8" s="57"/>
      <c r="B8" s="58"/>
      <c r="C8" s="57"/>
    </row>
    <row r="9" spans="1:3" x14ac:dyDescent="0.3">
      <c r="A9" s="50" t="s">
        <v>266</v>
      </c>
      <c r="B9" s="59" t="s">
        <v>267</v>
      </c>
      <c r="C9" s="52"/>
    </row>
    <row r="10" spans="1:3" x14ac:dyDescent="0.3">
      <c r="A10" s="53" t="s">
        <v>268</v>
      </c>
      <c r="B10" s="54">
        <f>716000-120000-2000</f>
        <v>594000</v>
      </c>
      <c r="C10" s="52" t="s">
        <v>269</v>
      </c>
    </row>
    <row r="11" spans="1:3" x14ac:dyDescent="0.3">
      <c r="A11" s="53" t="s">
        <v>261</v>
      </c>
      <c r="B11" s="54">
        <f>B5</f>
        <v>32000</v>
      </c>
      <c r="C11" s="52" t="s">
        <v>270</v>
      </c>
    </row>
    <row r="12" spans="1:3" x14ac:dyDescent="0.3">
      <c r="A12" s="53"/>
      <c r="B12" s="54"/>
      <c r="C12" s="55" t="s">
        <v>271</v>
      </c>
    </row>
    <row r="13" spans="1:3" x14ac:dyDescent="0.3">
      <c r="A13" s="53" t="s">
        <v>272</v>
      </c>
      <c r="B13" s="56">
        <f>(B10/B11)</f>
        <v>18.5625</v>
      </c>
      <c r="C13" s="60" t="s">
        <v>273</v>
      </c>
    </row>
    <row r="14" spans="1:3" x14ac:dyDescent="0.3">
      <c r="A14" s="57"/>
      <c r="B14" s="61"/>
      <c r="C14" s="57"/>
    </row>
    <row r="15" spans="1:3" x14ac:dyDescent="0.3">
      <c r="A15" s="50" t="s">
        <v>274</v>
      </c>
      <c r="B15" s="62" t="s">
        <v>275</v>
      </c>
      <c r="C15" s="52"/>
    </row>
    <row r="16" spans="1:3" x14ac:dyDescent="0.3">
      <c r="A16" s="53" t="s">
        <v>276</v>
      </c>
      <c r="B16" s="54">
        <v>511000</v>
      </c>
      <c r="C16" s="52" t="s">
        <v>277</v>
      </c>
    </row>
    <row r="17" spans="1:3" x14ac:dyDescent="0.3">
      <c r="A17" s="53" t="s">
        <v>261</v>
      </c>
      <c r="B17" s="54">
        <f>B5</f>
        <v>32000</v>
      </c>
      <c r="C17" s="52" t="s">
        <v>278</v>
      </c>
    </row>
    <row r="18" spans="1:3" x14ac:dyDescent="0.3">
      <c r="A18" s="53"/>
      <c r="B18" s="54"/>
      <c r="C18" s="52" t="s">
        <v>279</v>
      </c>
    </row>
    <row r="19" spans="1:3" x14ac:dyDescent="0.3">
      <c r="A19" s="53" t="s">
        <v>280</v>
      </c>
      <c r="B19" s="56">
        <f>(B16/B17)</f>
        <v>15.96875</v>
      </c>
      <c r="C19" s="55" t="s">
        <v>281</v>
      </c>
    </row>
    <row r="20" spans="1:3" x14ac:dyDescent="0.3">
      <c r="A20" s="63"/>
      <c r="B20" s="61"/>
      <c r="C20" s="57"/>
    </row>
    <row r="21" spans="1:3" x14ac:dyDescent="0.3">
      <c r="A21" s="64" t="s">
        <v>282</v>
      </c>
      <c r="B21" s="62" t="s">
        <v>283</v>
      </c>
      <c r="C21" s="52"/>
    </row>
    <row r="22" spans="1:3" x14ac:dyDescent="0.3">
      <c r="A22" s="53" t="s">
        <v>284</v>
      </c>
      <c r="B22" s="54">
        <v>32000</v>
      </c>
      <c r="C22" s="52" t="s">
        <v>285</v>
      </c>
    </row>
    <row r="23" spans="1:3" x14ac:dyDescent="0.3">
      <c r="A23" s="53" t="s">
        <v>286</v>
      </c>
      <c r="B23" s="54">
        <v>770000</v>
      </c>
      <c r="C23" s="52" t="s">
        <v>287</v>
      </c>
    </row>
    <row r="24" spans="1:3" x14ac:dyDescent="0.3">
      <c r="A24" s="53"/>
      <c r="B24" s="54"/>
      <c r="C24" s="52" t="s">
        <v>288</v>
      </c>
    </row>
    <row r="25" spans="1:3" ht="28.8" x14ac:dyDescent="0.3">
      <c r="A25" s="53" t="s">
        <v>289</v>
      </c>
      <c r="B25" s="65">
        <f>(B22/B23)</f>
        <v>4.1558441558441558E-2</v>
      </c>
      <c r="C25" s="55" t="s">
        <v>290</v>
      </c>
    </row>
    <row r="26" spans="1:3" x14ac:dyDescent="0.3">
      <c r="A26" s="66"/>
      <c r="B26" s="58"/>
      <c r="C26" s="57"/>
    </row>
    <row r="27" spans="1:3" x14ac:dyDescent="0.3">
      <c r="A27" s="50" t="s">
        <v>291</v>
      </c>
      <c r="B27" s="62" t="s">
        <v>292</v>
      </c>
      <c r="C27" s="52" t="s">
        <v>293</v>
      </c>
    </row>
    <row r="28" spans="1:3" x14ac:dyDescent="0.3">
      <c r="A28" s="53" t="s">
        <v>284</v>
      </c>
      <c r="B28" s="54">
        <f>B22</f>
        <v>32000</v>
      </c>
      <c r="C28" s="52" t="s">
        <v>294</v>
      </c>
    </row>
    <row r="29" spans="1:3" x14ac:dyDescent="0.3">
      <c r="A29" s="53" t="s">
        <v>295</v>
      </c>
      <c r="B29" s="54">
        <v>806000</v>
      </c>
      <c r="C29" s="52" t="s">
        <v>296</v>
      </c>
    </row>
    <row r="30" spans="1:3" x14ac:dyDescent="0.3">
      <c r="A30" s="53" t="s">
        <v>297</v>
      </c>
      <c r="B30" s="65">
        <f>(B28/B29)</f>
        <v>3.9702233250620347E-2</v>
      </c>
      <c r="C30" s="52" t="s">
        <v>298</v>
      </c>
    </row>
    <row r="31" spans="1:3" x14ac:dyDescent="0.3">
      <c r="A31" s="57"/>
      <c r="B31" s="58"/>
      <c r="C31" s="57"/>
    </row>
    <row r="32" spans="1:3" x14ac:dyDescent="0.3">
      <c r="A32" s="50" t="s">
        <v>299</v>
      </c>
      <c r="B32" s="62" t="s">
        <v>300</v>
      </c>
      <c r="C32" s="52" t="s">
        <v>301</v>
      </c>
    </row>
    <row r="33" spans="1:3" x14ac:dyDescent="0.3">
      <c r="A33" s="53" t="s">
        <v>302</v>
      </c>
      <c r="B33" s="54">
        <v>532000</v>
      </c>
      <c r="C33" s="52" t="s">
        <v>303</v>
      </c>
    </row>
    <row r="34" spans="1:3" x14ac:dyDescent="0.3">
      <c r="A34" s="53" t="s">
        <v>295</v>
      </c>
      <c r="B34" s="54">
        <f>B29</f>
        <v>806000</v>
      </c>
      <c r="C34" s="52" t="s">
        <v>304</v>
      </c>
    </row>
    <row r="35" spans="1:3" x14ac:dyDescent="0.3">
      <c r="A35" s="53" t="s">
        <v>305</v>
      </c>
      <c r="B35" s="67">
        <f>B33/B34</f>
        <v>0.66004962779156329</v>
      </c>
      <c r="C35" s="52" t="s">
        <v>306</v>
      </c>
    </row>
    <row r="36" spans="1:3" x14ac:dyDescent="0.3">
      <c r="A36" s="63"/>
      <c r="B36" s="58"/>
      <c r="C36" s="57"/>
    </row>
    <row r="37" spans="1:3" x14ac:dyDescent="0.3">
      <c r="A37" s="50" t="s">
        <v>307</v>
      </c>
      <c r="B37" s="68" t="s">
        <v>308</v>
      </c>
      <c r="C37" s="52"/>
    </row>
    <row r="38" spans="1:3" x14ac:dyDescent="0.3">
      <c r="A38" s="53" t="s">
        <v>309</v>
      </c>
      <c r="B38" s="54">
        <v>278000</v>
      </c>
      <c r="C38" s="52" t="s">
        <v>310</v>
      </c>
    </row>
    <row r="39" spans="1:3" x14ac:dyDescent="0.3">
      <c r="A39" s="53" t="s">
        <v>311</v>
      </c>
      <c r="B39" s="54">
        <v>60000</v>
      </c>
      <c r="C39" s="52" t="s">
        <v>312</v>
      </c>
    </row>
    <row r="40" spans="1:3" x14ac:dyDescent="0.3">
      <c r="A40" s="53"/>
      <c r="B40" s="54"/>
      <c r="C40" s="55" t="s">
        <v>313</v>
      </c>
    </row>
    <row r="41" spans="1:3" x14ac:dyDescent="0.3">
      <c r="A41" s="53" t="s">
        <v>314</v>
      </c>
      <c r="B41" s="56">
        <f>B38/B39</f>
        <v>4.6333333333333337</v>
      </c>
      <c r="C41" s="52" t="s">
        <v>315</v>
      </c>
    </row>
    <row r="42" spans="1:3" x14ac:dyDescent="0.3">
      <c r="A42" s="57"/>
      <c r="B42" s="58"/>
      <c r="C42" s="57"/>
    </row>
    <row r="43" spans="1:3" x14ac:dyDescent="0.3">
      <c r="A43" s="50" t="s">
        <v>316</v>
      </c>
      <c r="B43" s="62" t="s">
        <v>317</v>
      </c>
      <c r="C43" s="52"/>
    </row>
    <row r="44" spans="1:3" x14ac:dyDescent="0.3">
      <c r="A44" s="53" t="s">
        <v>318</v>
      </c>
      <c r="B44" s="54">
        <f>B33</f>
        <v>532000</v>
      </c>
      <c r="C44" s="52" t="s">
        <v>319</v>
      </c>
    </row>
    <row r="45" spans="1:3" x14ac:dyDescent="0.3">
      <c r="A45" s="53" t="s">
        <v>320</v>
      </c>
      <c r="B45" s="54">
        <f>(B4-B5)</f>
        <v>684000</v>
      </c>
      <c r="C45" s="52" t="s">
        <v>321</v>
      </c>
    </row>
    <row r="46" spans="1:3" x14ac:dyDescent="0.3">
      <c r="A46" s="53"/>
      <c r="B46" s="54"/>
      <c r="C46" s="52" t="s">
        <v>322</v>
      </c>
    </row>
    <row r="47" spans="1:3" x14ac:dyDescent="0.3">
      <c r="A47" s="69" t="s">
        <v>323</v>
      </c>
      <c r="B47" s="70">
        <f>B44/B45</f>
        <v>0.77777777777777779</v>
      </c>
      <c r="C47" s="71" t="s">
        <v>324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entries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2026-08-03T03:23:56Z</dcterms:created>
  <dcterms:modified xsi:type="dcterms:W3CDTF">2026-08-08T14:29:31Z</dcterms:modified>
</cp:coreProperties>
</file>